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urso Excel SENA\"/>
    </mc:Choice>
  </mc:AlternateContent>
  <xr:revisionPtr revIDLastSave="0" documentId="13_ncr:1_{CDF377DA-25DE-4B6D-ACAF-03106B0D605F}" xr6:coauthVersionLast="47" xr6:coauthVersionMax="47" xr10:uidLastSave="{00000000-0000-0000-0000-000000000000}"/>
  <bookViews>
    <workbookView xWindow="-120" yWindow="-120" windowWidth="20730" windowHeight="11160" xr2:uid="{41528351-D87C-4973-A0C8-309CFA64E83B}"/>
  </bookViews>
  <sheets>
    <sheet name="Factura" sheetId="5" r:id="rId1"/>
    <sheet name="Tablas dinámicas" sheetId="9" r:id="rId2"/>
    <sheet name="Informe1" sheetId="8" r:id="rId3"/>
    <sheet name="Registro de ventas" sheetId="10" r:id="rId4"/>
    <sheet name="Clientes" sheetId="1" r:id="rId5"/>
    <sheet name="Producto" sheetId="2" r:id="rId6"/>
    <sheet name="Vendedores" sheetId="3" r:id="rId7"/>
    <sheet name="Descuento" sheetId="6" r:id="rId8"/>
    <sheet name="IVA" sheetId="7" r:id="rId9"/>
  </sheets>
  <definedNames>
    <definedName name="_xlcn.WorksheetConnection_91290852Taller4.xlsxProductos5" hidden="1">Productos5[]</definedName>
    <definedName name="_xlnm.Print_Area" localSheetId="0">Factura!$B$1:$F$24</definedName>
    <definedName name="_xlnm.Print_Area" localSheetId="2">Informe1!$L$3:$W$95</definedName>
    <definedName name="Cantidad">Informe1!$E$4:$E$83</definedName>
    <definedName name="CC.VendedorV">Informe1!$H$4:$H$83</definedName>
    <definedName name="CódigoV">Informe1!$B$4:$B$83</definedName>
    <definedName name="Descuento1">Descuento!$A$2</definedName>
    <definedName name="Descuento2">Descuento!$B$2</definedName>
    <definedName name="Descuento3">Descuento!$C$2</definedName>
    <definedName name="Descuento4">Descuento!$D$2</definedName>
    <definedName name="Descuentos">Descuento!$A$1:$D$2</definedName>
    <definedName name="IVA">IVA!$B$1</definedName>
    <definedName name="mes">Informe1!$G$4:$G$83</definedName>
    <definedName name="Nombre">Informe1!$C$4:$C$83</definedName>
    <definedName name="Nombre_Vendedor">Informe1!$I$4:$I$83</definedName>
    <definedName name="_xlnm.Print_Titles" localSheetId="2">Informe1!$2:$2</definedName>
    <definedName name="Total">Informe1!$F$4:$F$83</definedName>
    <definedName name="Valor_unitario">Informe1!$D$4:$D$83</definedName>
  </definedNames>
  <calcPr calcId="191029"/>
  <pivotCaches>
    <pivotCache cacheId="0" r:id="rId10"/>
    <pivotCache cacheId="1" r:id="rId11"/>
    <pivotCache cacheId="2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oductos5" name="Productos5" connection="WorksheetConnection_91290852 Taller4.xlsx!Productos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C9" i="5"/>
  <c r="E1" i="5"/>
  <c r="E4" i="5"/>
  <c r="E5" i="5"/>
  <c r="C6" i="5"/>
  <c r="N37" i="8"/>
  <c r="N72" i="8"/>
  <c r="M10" i="8"/>
  <c r="N68" i="8"/>
  <c r="N76" i="8"/>
  <c r="N69" i="8"/>
  <c r="N71" i="8"/>
  <c r="N73" i="8"/>
  <c r="N74" i="8"/>
  <c r="N75" i="8"/>
  <c r="N67" i="8"/>
  <c r="N32" i="8"/>
  <c r="N34" i="8"/>
  <c r="N35" i="8"/>
  <c r="N36" i="8"/>
  <c r="N38" i="8"/>
  <c r="N30" i="8"/>
  <c r="M31" i="8"/>
  <c r="M32" i="8"/>
  <c r="M33" i="8"/>
  <c r="M34" i="8"/>
  <c r="M35" i="8"/>
  <c r="M36" i="8"/>
  <c r="M37" i="8"/>
  <c r="M38" i="8"/>
  <c r="M39" i="8"/>
  <c r="M30" i="8"/>
  <c r="M8" i="8"/>
  <c r="M9" i="8"/>
  <c r="M11" i="8"/>
  <c r="M12" i="8"/>
  <c r="M13" i="8"/>
  <c r="M15" i="8"/>
  <c r="M16" i="8"/>
  <c r="M17" i="8"/>
  <c r="M18" i="8"/>
  <c r="M7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C19" i="5"/>
  <c r="C18" i="5"/>
  <c r="C17" i="5"/>
  <c r="C16" i="5"/>
  <c r="C15" i="5"/>
  <c r="C14" i="5"/>
  <c r="C13" i="5"/>
  <c r="C12" i="5"/>
  <c r="C11" i="5"/>
  <c r="C10" i="5"/>
  <c r="E19" i="5"/>
  <c r="F19" i="5" s="1"/>
  <c r="E18" i="5"/>
  <c r="F18" i="5" s="1"/>
  <c r="E17" i="5"/>
  <c r="F17" i="5" s="1"/>
  <c r="E16" i="5"/>
  <c r="F16" i="5" s="1"/>
  <c r="E15" i="5"/>
  <c r="F15" i="5" s="1"/>
  <c r="E14" i="5"/>
  <c r="F14" i="5" s="1"/>
  <c r="E13" i="5"/>
  <c r="F13" i="5" s="1"/>
  <c r="E12" i="5"/>
  <c r="F12" i="5" s="1"/>
  <c r="E11" i="5"/>
  <c r="F11" i="5" s="1"/>
  <c r="E10" i="5"/>
  <c r="F10" i="5" s="1"/>
  <c r="E9" i="5"/>
  <c r="F9" i="5" s="1"/>
  <c r="C2" i="5"/>
  <c r="O73" i="8" l="1"/>
  <c r="M14" i="8"/>
  <c r="N33" i="8"/>
  <c r="N39" i="8"/>
  <c r="N31" i="8"/>
  <c r="N70" i="8"/>
  <c r="O74" i="8"/>
  <c r="O71" i="8"/>
  <c r="O72" i="8"/>
  <c r="O70" i="8"/>
  <c r="O69" i="8"/>
  <c r="O76" i="8"/>
  <c r="O68" i="8"/>
  <c r="O67" i="8"/>
  <c r="N7" i="8"/>
  <c r="O75" i="8"/>
  <c r="N18" i="8"/>
  <c r="N16" i="8"/>
  <c r="N15" i="8"/>
  <c r="N11" i="8"/>
  <c r="N17" i="8"/>
  <c r="O36" i="8"/>
  <c r="O35" i="8"/>
  <c r="N10" i="8"/>
  <c r="N14" i="8"/>
  <c r="O30" i="8"/>
  <c r="O33" i="8"/>
  <c r="O34" i="8"/>
  <c r="N9" i="8"/>
  <c r="N13" i="8"/>
  <c r="O32" i="8"/>
  <c r="N8" i="8"/>
  <c r="N12" i="8"/>
  <c r="O39" i="8"/>
  <c r="O31" i="8"/>
  <c r="O38" i="8"/>
  <c r="O37" i="8"/>
  <c r="F21" i="5"/>
  <c r="F22" i="5" s="1"/>
  <c r="F23" i="5" l="1"/>
  <c r="F24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9DB26A-66BC-4EEA-B3B6-A1295A0E53E7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AFB8935-7D8D-40AC-B267-10D7EA8C75AB}" name="WorksheetConnection_91290852 Taller4.xlsx!Productos5" type="102" refreshedVersion="7" minRefreshableVersion="5">
    <extLst>
      <ext xmlns:x15="http://schemas.microsoft.com/office/spreadsheetml/2010/11/main" uri="{DE250136-89BD-433C-8126-D09CA5730AF9}">
        <x15:connection id="Productos5" autoDelete="1">
          <x15:rangePr sourceName="_xlcn.WorksheetConnection_91290852Taller4.xlsxProductos5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Productos5].[mes].&amp;[Enero],[Productos5].[mes].&amp;[Marzo],[Productos5].[mes].&amp;[Febrero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<sst xmlns="http://schemas.openxmlformats.org/spreadsheetml/2006/main" count="1431" uniqueCount="1062">
  <si>
    <t>Cédula</t>
  </si>
  <si>
    <t>Nombre</t>
  </si>
  <si>
    <t>Apellidos</t>
  </si>
  <si>
    <t>Apellido</t>
  </si>
  <si>
    <t>Teléfono</t>
  </si>
  <si>
    <t>Dirección</t>
  </si>
  <si>
    <t>e-mail</t>
  </si>
  <si>
    <t>Código</t>
  </si>
  <si>
    <t>Valor unitario</t>
  </si>
  <si>
    <t>Ventas</t>
  </si>
  <si>
    <t>Pedro</t>
  </si>
  <si>
    <t>Pérez</t>
  </si>
  <si>
    <t>pedro.perez@dominio.com</t>
  </si>
  <si>
    <t>Carlos</t>
  </si>
  <si>
    <t>Juan</t>
  </si>
  <si>
    <t>Raúl</t>
  </si>
  <si>
    <t>Antonio</t>
  </si>
  <si>
    <t>María</t>
  </si>
  <si>
    <t>Claudia</t>
  </si>
  <si>
    <t>Sandra</t>
  </si>
  <si>
    <t>Stella</t>
  </si>
  <si>
    <t>Perea</t>
  </si>
  <si>
    <t>Bedoya</t>
  </si>
  <si>
    <t>Tamaríz</t>
  </si>
  <si>
    <t>Velazco</t>
  </si>
  <si>
    <t>Ramírez</t>
  </si>
  <si>
    <t>López</t>
  </si>
  <si>
    <t>Gómez</t>
  </si>
  <si>
    <t>Trois</t>
  </si>
  <si>
    <t>González</t>
  </si>
  <si>
    <t>Calle 50#12-60</t>
  </si>
  <si>
    <t>Aránzazu</t>
  </si>
  <si>
    <t>Durán-Carranza</t>
  </si>
  <si>
    <t>Gala</t>
  </si>
  <si>
    <t>Donaire</t>
  </si>
  <si>
    <t>Andrés</t>
  </si>
  <si>
    <t>Felipe</t>
  </si>
  <si>
    <t>Asdrubal</t>
  </si>
  <si>
    <t>Coello</t>
  </si>
  <si>
    <t>Esperanza</t>
  </si>
  <si>
    <t>Ropero</t>
  </si>
  <si>
    <t>Gregorio</t>
  </si>
  <si>
    <t>Cabrera</t>
  </si>
  <si>
    <t>Edgardo</t>
  </si>
  <si>
    <t>de</t>
  </si>
  <si>
    <t>Abraham</t>
  </si>
  <si>
    <t>Vilar</t>
  </si>
  <si>
    <t>Anastasio</t>
  </si>
  <si>
    <t>Sedano</t>
  </si>
  <si>
    <t>Severo</t>
  </si>
  <si>
    <t>Herrera</t>
  </si>
  <si>
    <t>Ernesto</t>
  </si>
  <si>
    <t>Fuente-Abellán</t>
  </si>
  <si>
    <t>Dan</t>
  </si>
  <si>
    <t>Jordán</t>
  </si>
  <si>
    <t>Mur</t>
  </si>
  <si>
    <t>Eustaquio</t>
  </si>
  <si>
    <t>Franch</t>
  </si>
  <si>
    <t>Aroa</t>
  </si>
  <si>
    <t>Piñeiro</t>
  </si>
  <si>
    <t>Vicenta</t>
  </si>
  <si>
    <t>Bautista</t>
  </si>
  <si>
    <t>Macias-Aguado</t>
  </si>
  <si>
    <t>Ángeles</t>
  </si>
  <si>
    <t>Tere</t>
  </si>
  <si>
    <t>Rivas</t>
  </si>
  <si>
    <t>Amílcar</t>
  </si>
  <si>
    <t>Tudela</t>
  </si>
  <si>
    <t>Patricio</t>
  </si>
  <si>
    <t>Brunilda</t>
  </si>
  <si>
    <t>Ibañez</t>
  </si>
  <si>
    <t>Raimundo</t>
  </si>
  <si>
    <t>Perelló</t>
  </si>
  <si>
    <t>Eugenio</t>
  </si>
  <si>
    <t>Sáez-Reina</t>
  </si>
  <si>
    <t>José</t>
  </si>
  <si>
    <t>Mari</t>
  </si>
  <si>
    <t>Maximiliano</t>
  </si>
  <si>
    <t>Tejedor</t>
  </si>
  <si>
    <t>Amaya</t>
  </si>
  <si>
    <t>Jose</t>
  </si>
  <si>
    <t>César</t>
  </si>
  <si>
    <t>Vega</t>
  </si>
  <si>
    <t>Tamara</t>
  </si>
  <si>
    <t>Zorrilla</t>
  </si>
  <si>
    <t>Fabricio</t>
  </si>
  <si>
    <t>Anglada</t>
  </si>
  <si>
    <t>Calvo</t>
  </si>
  <si>
    <t>Calixta</t>
  </si>
  <si>
    <t>Andrade</t>
  </si>
  <si>
    <t>Olivera</t>
  </si>
  <si>
    <t>Griselda</t>
  </si>
  <si>
    <t>Acevedo</t>
  </si>
  <si>
    <t>Jiménez</t>
  </si>
  <si>
    <t>Chico</t>
  </si>
  <si>
    <t>Maite</t>
  </si>
  <si>
    <t>Ruth</t>
  </si>
  <si>
    <t>Juárez</t>
  </si>
  <si>
    <t>Viviana</t>
  </si>
  <si>
    <t>Crespo-Pascual</t>
  </si>
  <si>
    <t>Elodia</t>
  </si>
  <si>
    <t>Segura</t>
  </si>
  <si>
    <t>Duilio</t>
  </si>
  <si>
    <t>Cañellas</t>
  </si>
  <si>
    <t>Estela</t>
  </si>
  <si>
    <t>Torralba</t>
  </si>
  <si>
    <t>Ángela</t>
  </si>
  <si>
    <t>Arregui</t>
  </si>
  <si>
    <t>Salvador</t>
  </si>
  <si>
    <t>Román</t>
  </si>
  <si>
    <t>Elpidio</t>
  </si>
  <si>
    <t>Trillo</t>
  </si>
  <si>
    <t>Nazaret</t>
  </si>
  <si>
    <t>Barba</t>
  </si>
  <si>
    <t>Agapito</t>
  </si>
  <si>
    <t>Martin</t>
  </si>
  <si>
    <t>Quiroga</t>
  </si>
  <si>
    <t>Vasco</t>
  </si>
  <si>
    <t>Batalla</t>
  </si>
  <si>
    <t>Javiera</t>
  </si>
  <si>
    <t>Arnal</t>
  </si>
  <si>
    <t>Bruno</t>
  </si>
  <si>
    <t>Carmelita</t>
  </si>
  <si>
    <t>Lloret</t>
  </si>
  <si>
    <t>Armando</t>
  </si>
  <si>
    <t>Carnero-Castro</t>
  </si>
  <si>
    <t>Valero</t>
  </si>
  <si>
    <t>Fabián</t>
  </si>
  <si>
    <t>Rivera-Garriga</t>
  </si>
  <si>
    <t>Máxima</t>
  </si>
  <si>
    <t>Nicolau</t>
  </si>
  <si>
    <t>Lidia</t>
  </si>
  <si>
    <t>Marcia</t>
  </si>
  <si>
    <t>del</t>
  </si>
  <si>
    <t>Felipa</t>
  </si>
  <si>
    <t>Leocadio</t>
  </si>
  <si>
    <t>Bastida</t>
  </si>
  <si>
    <t>Adelia</t>
  </si>
  <si>
    <t>Jara</t>
  </si>
  <si>
    <t>Cristina</t>
  </si>
  <si>
    <t>Baena</t>
  </si>
  <si>
    <t>Nicolás</t>
  </si>
  <si>
    <t>Campoy</t>
  </si>
  <si>
    <t>Chus</t>
  </si>
  <si>
    <t>Capdevila</t>
  </si>
  <si>
    <t>Jeremías</t>
  </si>
  <si>
    <t>Ochoa-Chico</t>
  </si>
  <si>
    <t>Loreto</t>
  </si>
  <si>
    <t>Morales</t>
  </si>
  <si>
    <t>Che</t>
  </si>
  <si>
    <t>Andrade-Galvez</t>
  </si>
  <si>
    <t>Teresita</t>
  </si>
  <si>
    <t>Benavente</t>
  </si>
  <si>
    <t>Adora</t>
  </si>
  <si>
    <t>Patricia</t>
  </si>
  <si>
    <t>Emilia</t>
  </si>
  <si>
    <t>Serrano</t>
  </si>
  <si>
    <t>Leire</t>
  </si>
  <si>
    <t>Rueda</t>
  </si>
  <si>
    <t>Wilfredo</t>
  </si>
  <si>
    <t>Fabra-Gómez</t>
  </si>
  <si>
    <t>Carina</t>
  </si>
  <si>
    <t>Torrent</t>
  </si>
  <si>
    <t>Basilio</t>
  </si>
  <si>
    <t>Barbero</t>
  </si>
  <si>
    <t>Charo</t>
  </si>
  <si>
    <t>Feliciana</t>
  </si>
  <si>
    <t>Giménez</t>
  </si>
  <si>
    <t>Etelvina</t>
  </si>
  <si>
    <t>Castelló-Carvajal</t>
  </si>
  <si>
    <t>Adalberto</t>
  </si>
  <si>
    <t>Lucas</t>
  </si>
  <si>
    <t>Garrido</t>
  </si>
  <si>
    <t>Maricela</t>
  </si>
  <si>
    <t>Rivera-Casanovas</t>
  </si>
  <si>
    <t>Arcelia</t>
  </si>
  <si>
    <t>Juanita</t>
  </si>
  <si>
    <t>Bayona</t>
  </si>
  <si>
    <t>Julio</t>
  </si>
  <si>
    <t>Jacinta</t>
  </si>
  <si>
    <t>Avilés</t>
  </si>
  <si>
    <t>Hervia</t>
  </si>
  <si>
    <t>Josep</t>
  </si>
  <si>
    <t>Alcalá</t>
  </si>
  <si>
    <t>Lamas</t>
  </si>
  <si>
    <t>Lope</t>
  </si>
  <si>
    <t>Sales</t>
  </si>
  <si>
    <t>Nicodemo</t>
  </si>
  <si>
    <t>Torrents</t>
  </si>
  <si>
    <t>Jenaro</t>
  </si>
  <si>
    <t>Querol-Lledó</t>
  </si>
  <si>
    <t>Maxi</t>
  </si>
  <si>
    <t>Montesinos-Moreno</t>
  </si>
  <si>
    <t>Jacinto</t>
  </si>
  <si>
    <t>Márquez</t>
  </si>
  <si>
    <t>Elisabet</t>
  </si>
  <si>
    <t>Balaguer</t>
  </si>
  <si>
    <t>Angelita</t>
  </si>
  <si>
    <t>Pilar</t>
  </si>
  <si>
    <t>Pascual</t>
  </si>
  <si>
    <t>Pou</t>
  </si>
  <si>
    <t>Eloy</t>
  </si>
  <si>
    <t>Paniagua-Manjón</t>
  </si>
  <si>
    <t>Maristela</t>
  </si>
  <si>
    <t>Ángel</t>
  </si>
  <si>
    <t>Olegario</t>
  </si>
  <si>
    <t>Isidoro</t>
  </si>
  <si>
    <t>Manuela</t>
  </si>
  <si>
    <t>Trinidad</t>
  </si>
  <si>
    <t>Fátima</t>
  </si>
  <si>
    <t>Alcaraz</t>
  </si>
  <si>
    <t>Amparo</t>
  </si>
  <si>
    <t>Porcel</t>
  </si>
  <si>
    <t>Aurelia</t>
  </si>
  <si>
    <t>Quique</t>
  </si>
  <si>
    <t>Miguel</t>
  </si>
  <si>
    <t>Joaquina</t>
  </si>
  <si>
    <t>Palomino-Llamas</t>
  </si>
  <si>
    <t>Andrea</t>
  </si>
  <si>
    <t>Mateo</t>
  </si>
  <si>
    <t>Marcelino</t>
  </si>
  <si>
    <t>Trujillo</t>
  </si>
  <si>
    <t>Torres</t>
  </si>
  <si>
    <t>Leandro</t>
  </si>
  <si>
    <t>Toledo</t>
  </si>
  <si>
    <t>Jovita</t>
  </si>
  <si>
    <t>Jordana</t>
  </si>
  <si>
    <t>Castells-Giralt</t>
  </si>
  <si>
    <t>Lorenzo</t>
  </si>
  <si>
    <t>Yago</t>
  </si>
  <si>
    <t>Baldomero</t>
  </si>
  <si>
    <t>Galán</t>
  </si>
  <si>
    <t>Diego</t>
  </si>
  <si>
    <t>Espiridión</t>
  </si>
  <si>
    <t>Villalba</t>
  </si>
  <si>
    <t>Ortega</t>
  </si>
  <si>
    <t>Rosell</t>
  </si>
  <si>
    <t>Gabriela</t>
  </si>
  <si>
    <t>Padilla</t>
  </si>
  <si>
    <t>Samanta</t>
  </si>
  <si>
    <t>Monreal</t>
  </si>
  <si>
    <t>Custodio</t>
  </si>
  <si>
    <t>Fortunata</t>
  </si>
  <si>
    <t>Espada</t>
  </si>
  <si>
    <t>Petrona</t>
  </si>
  <si>
    <t>Bellido</t>
  </si>
  <si>
    <t>Bejarano</t>
  </si>
  <si>
    <t>Nevado</t>
  </si>
  <si>
    <t>Cantón</t>
  </si>
  <si>
    <t>Milagros</t>
  </si>
  <si>
    <t>Marc</t>
  </si>
  <si>
    <t>Novoa</t>
  </si>
  <si>
    <t>Candelas</t>
  </si>
  <si>
    <t>Alberola</t>
  </si>
  <si>
    <t>Albina</t>
  </si>
  <si>
    <t>Rivera</t>
  </si>
  <si>
    <t>Bernardo</t>
  </si>
  <si>
    <t>Pelayo</t>
  </si>
  <si>
    <t>Jonatan</t>
  </si>
  <si>
    <t>Esther</t>
  </si>
  <si>
    <t>Aliaga</t>
  </si>
  <si>
    <t>Consuelo</t>
  </si>
  <si>
    <t>Iniesta</t>
  </si>
  <si>
    <t>Eusebia</t>
  </si>
  <si>
    <t>Hernández</t>
  </si>
  <si>
    <t>Prado</t>
  </si>
  <si>
    <t>Eligia</t>
  </si>
  <si>
    <t>Flor</t>
  </si>
  <si>
    <t>Abigaíl</t>
  </si>
  <si>
    <t>Jennifer</t>
  </si>
  <si>
    <t>Violeta</t>
  </si>
  <si>
    <t>Losada</t>
  </si>
  <si>
    <t>Paola</t>
  </si>
  <si>
    <t>Dalmau</t>
  </si>
  <si>
    <t>Bárbara</t>
  </si>
  <si>
    <t>Olimpia</t>
  </si>
  <si>
    <t>Carballo</t>
  </si>
  <si>
    <t>Amor</t>
  </si>
  <si>
    <t>Vázquez</t>
  </si>
  <si>
    <t>Felicidad</t>
  </si>
  <si>
    <t>Alcalde</t>
  </si>
  <si>
    <t>Antonia</t>
  </si>
  <si>
    <t>Ballesteros-Duarte</t>
  </si>
  <si>
    <t>Macaria</t>
  </si>
  <si>
    <t>Fuente</t>
  </si>
  <si>
    <t>Simón</t>
  </si>
  <si>
    <t>Nuria</t>
  </si>
  <si>
    <t>Casanovas</t>
  </si>
  <si>
    <t>Tatiana</t>
  </si>
  <si>
    <t>Bermudez</t>
  </si>
  <si>
    <t>Julieta</t>
  </si>
  <si>
    <t>Bosch</t>
  </si>
  <si>
    <t>Perla</t>
  </si>
  <si>
    <t>Echevarría</t>
  </si>
  <si>
    <t>Tito</t>
  </si>
  <si>
    <t>Abella</t>
  </si>
  <si>
    <t>Vargas</t>
  </si>
  <si>
    <t>Anna</t>
  </si>
  <si>
    <t>Espejo</t>
  </si>
  <si>
    <t>Elvira</t>
  </si>
  <si>
    <t>Manolo</t>
  </si>
  <si>
    <t>Villanueva</t>
  </si>
  <si>
    <t>Iris</t>
  </si>
  <si>
    <t>Íngrid</t>
  </si>
  <si>
    <t>Mayol</t>
  </si>
  <si>
    <t>Olga</t>
  </si>
  <si>
    <t>Osorio</t>
  </si>
  <si>
    <t>Reyes</t>
  </si>
  <si>
    <t>Galindo</t>
  </si>
  <si>
    <t>Acedo</t>
  </si>
  <si>
    <t>Roque</t>
  </si>
  <si>
    <t>Baeza</t>
  </si>
  <si>
    <t>Tomás</t>
  </si>
  <si>
    <t>Tejada</t>
  </si>
  <si>
    <t>Eugenia</t>
  </si>
  <si>
    <t>Gabino</t>
  </si>
  <si>
    <t>Manuel</t>
  </si>
  <si>
    <t>Goicoechea</t>
  </si>
  <si>
    <t>Plinio</t>
  </si>
  <si>
    <t>Marino</t>
  </si>
  <si>
    <t>Anselmo</t>
  </si>
  <si>
    <t>Carreño</t>
  </si>
  <si>
    <t>Ruperto</t>
  </si>
  <si>
    <t>Álvarez</t>
  </si>
  <si>
    <t>Ainoa</t>
  </si>
  <si>
    <t>Riba</t>
  </si>
  <si>
    <t>Rosenda</t>
  </si>
  <si>
    <t>Rodriguez</t>
  </si>
  <si>
    <t>Yolanda</t>
  </si>
  <si>
    <t>Marí</t>
  </si>
  <si>
    <t>Anacleto</t>
  </si>
  <si>
    <t>Aitana</t>
  </si>
  <si>
    <t>Vallejo</t>
  </si>
  <si>
    <t>Exposito</t>
  </si>
  <si>
    <t>Odalys</t>
  </si>
  <si>
    <t>Tejera</t>
  </si>
  <si>
    <t>Isidora</t>
  </si>
  <si>
    <t>Imelda</t>
  </si>
  <si>
    <t>Sandoval</t>
  </si>
  <si>
    <t>Escrivá-Lladó</t>
  </si>
  <si>
    <t>Fernanda</t>
  </si>
  <si>
    <t>Figueras</t>
  </si>
  <si>
    <t>Cristian</t>
  </si>
  <si>
    <t>Cózar-Barral</t>
  </si>
  <si>
    <t>Gema</t>
  </si>
  <si>
    <t>Núñez</t>
  </si>
  <si>
    <t>Alcides</t>
  </si>
  <si>
    <t>Borrell</t>
  </si>
  <si>
    <t>Arsenio</t>
  </si>
  <si>
    <t>Raya</t>
  </si>
  <si>
    <t>Albino</t>
  </si>
  <si>
    <t>Gaspar</t>
  </si>
  <si>
    <t>Ferrer</t>
  </si>
  <si>
    <t>Evita</t>
  </si>
  <si>
    <t>Salas</t>
  </si>
  <si>
    <t>Aureliano</t>
  </si>
  <si>
    <t>Bru</t>
  </si>
  <si>
    <t>Casemiro</t>
  </si>
  <si>
    <t>Escudero</t>
  </si>
  <si>
    <t>Remigio</t>
  </si>
  <si>
    <t>Valverde</t>
  </si>
  <si>
    <t>Candelaria</t>
  </si>
  <si>
    <t>Segovia</t>
  </si>
  <si>
    <t>Dani</t>
  </si>
  <si>
    <t>Amado</t>
  </si>
  <si>
    <t>Buenaventura</t>
  </si>
  <si>
    <t>Fabra</t>
  </si>
  <si>
    <t>Herberto</t>
  </si>
  <si>
    <t>Ortuño</t>
  </si>
  <si>
    <t>gala.donaire@dominio.com</t>
  </si>
  <si>
    <t>andrés.felipe@dominio.com</t>
  </si>
  <si>
    <t>asdrubal.coello@dominio.com</t>
  </si>
  <si>
    <t>esperanza.ropero@dominio.com</t>
  </si>
  <si>
    <t>gregorio.cabrera@dominio.com</t>
  </si>
  <si>
    <t>edgardo.de@dominio.com</t>
  </si>
  <si>
    <t>abraham.vilar@dominio.com</t>
  </si>
  <si>
    <t>anastasio.sedano@dominio.com</t>
  </si>
  <si>
    <t>severo.herrera@dominio.com</t>
  </si>
  <si>
    <t>ernesto.fuente-abellán@dominio.com</t>
  </si>
  <si>
    <t>dan.de@dominio.com</t>
  </si>
  <si>
    <t>jordán.mur@dominio.com</t>
  </si>
  <si>
    <t>eustaquio.franch@dominio.com</t>
  </si>
  <si>
    <t>aroa.piñeiro@dominio.com</t>
  </si>
  <si>
    <t>vicenta.de@dominio.com</t>
  </si>
  <si>
    <t>bautista.macias-aguado@dominio.com</t>
  </si>
  <si>
    <t>maría.ángeles@dominio.com</t>
  </si>
  <si>
    <t>tere.rivas@dominio.com</t>
  </si>
  <si>
    <t>amílcar.tudela@dominio.com</t>
  </si>
  <si>
    <t>patricio.juan@dominio.com</t>
  </si>
  <si>
    <t>brunilda.ibañez@dominio.com</t>
  </si>
  <si>
    <t>raimundo.perelló@dominio.com</t>
  </si>
  <si>
    <t>eugenio.sáez-reina@dominio.com</t>
  </si>
  <si>
    <t>josé.mari@dominio.com</t>
  </si>
  <si>
    <t>maximiliano.tejedor@dominio.com</t>
  </si>
  <si>
    <t>jose.carlos@dominio.com</t>
  </si>
  <si>
    <t>césar.vega@dominio.com</t>
  </si>
  <si>
    <t>tamara.zorrilla@dominio.com</t>
  </si>
  <si>
    <t>fabricio.anglada@dominio.com</t>
  </si>
  <si>
    <t>calixta.andrade@dominio.com</t>
  </si>
  <si>
    <t>griselda.acevedo@dominio.com</t>
  </si>
  <si>
    <t>sandra.chico@dominio.com</t>
  </si>
  <si>
    <t>maite.amaya@dominio.com</t>
  </si>
  <si>
    <t>maite.ruth@dominio.com</t>
  </si>
  <si>
    <t>viviana.crespo-pascual@dominio.com</t>
  </si>
  <si>
    <t>elodia.segura@dominio.com</t>
  </si>
  <si>
    <t>duilio.cañellas@dominio.com</t>
  </si>
  <si>
    <t>estela.torralba@dominio.com</t>
  </si>
  <si>
    <t>ángela.arregui@dominio.com</t>
  </si>
  <si>
    <t>salvador.román@dominio.com</t>
  </si>
  <si>
    <t>elpidio.trillo@dominio.com</t>
  </si>
  <si>
    <t>nazaret.barba@dominio.com</t>
  </si>
  <si>
    <t>agapito.calvo@dominio.com</t>
  </si>
  <si>
    <t>martin.quiroga@dominio.com</t>
  </si>
  <si>
    <t>vasco.batalla@dominio.com</t>
  </si>
  <si>
    <t>javiera.arnal@dominio.com</t>
  </si>
  <si>
    <t>bruno.juárez@dominio.com</t>
  </si>
  <si>
    <t>carmelita.lloret@dominio.com</t>
  </si>
  <si>
    <t>armando.carnero-castro@dominio.com</t>
  </si>
  <si>
    <t>nazaret.valero@dominio.com</t>
  </si>
  <si>
    <t>fabián.rivera-garriga@dominio.com</t>
  </si>
  <si>
    <t>máxima.nicolau@dominio.com</t>
  </si>
  <si>
    <t>lidia.tere@dominio.com</t>
  </si>
  <si>
    <t>marcia.del@dominio.com</t>
  </si>
  <si>
    <t>felipa.gómez@dominio.com</t>
  </si>
  <si>
    <t>leocadio.bastida@dominio.com</t>
  </si>
  <si>
    <t>adelia.jara@dominio.com</t>
  </si>
  <si>
    <t>cristina.baena@dominio.com</t>
  </si>
  <si>
    <t>nicolás.campoy@dominio.com</t>
  </si>
  <si>
    <t>chus.capdevila@dominio.com</t>
  </si>
  <si>
    <t>jeremías.ochoa-chico@dominio.com</t>
  </si>
  <si>
    <t>loreto.morales@dominio.com</t>
  </si>
  <si>
    <t>che.andrade-galvez@dominio.com</t>
  </si>
  <si>
    <t>teresita.benavente@dominio.com</t>
  </si>
  <si>
    <t>adora.patricia@dominio.com</t>
  </si>
  <si>
    <t>emilia.serrano@dominio.com</t>
  </si>
  <si>
    <t>leire.rueda@dominio.com</t>
  </si>
  <si>
    <t>wilfredo.fabra-gómez@dominio.com</t>
  </si>
  <si>
    <t>carina.torrent@dominio.com</t>
  </si>
  <si>
    <t>basilio.barbero@dominio.com</t>
  </si>
  <si>
    <t>charo.de@dominio.com</t>
  </si>
  <si>
    <t>feliciana.giménez@dominio.com</t>
  </si>
  <si>
    <t>etelvina.castelló-carvajal@dominio.com</t>
  </si>
  <si>
    <t>adalberto.jiménez@dominio.com</t>
  </si>
  <si>
    <t>lucas.garrido@dominio.com</t>
  </si>
  <si>
    <t>maricela.rivera-casanovas@dominio.com</t>
  </si>
  <si>
    <t>arcelia.de@dominio.com</t>
  </si>
  <si>
    <t>juanita.bayona@dominio.com</t>
  </si>
  <si>
    <t>julio.césar@dominio.com</t>
  </si>
  <si>
    <t>jacinta.avilés@dominio.com</t>
  </si>
  <si>
    <t>josep.alcalá@dominio.com</t>
  </si>
  <si>
    <t>josep.lamas@dominio.com</t>
  </si>
  <si>
    <t>lope.sales@dominio.com</t>
  </si>
  <si>
    <t>nicodemo.torrents@dominio.com</t>
  </si>
  <si>
    <t>jenaro.querol-lledó@dominio.com</t>
  </si>
  <si>
    <t>maxi.montesinos-moreno@dominio.com</t>
  </si>
  <si>
    <t>jacinto.márquez@dominio.com</t>
  </si>
  <si>
    <t>elisabet.balaguer@dominio.com</t>
  </si>
  <si>
    <t>angelita.pilar@dominio.com</t>
  </si>
  <si>
    <t>pascual.pou@dominio.com</t>
  </si>
  <si>
    <t>eloy.paniagua-manjón@dominio.com</t>
  </si>
  <si>
    <t>maristela.aránzazu@dominio.com</t>
  </si>
  <si>
    <t>josé.ángel@dominio.com</t>
  </si>
  <si>
    <t>olegario.isidoro@dominio.com</t>
  </si>
  <si>
    <t>maría.manuela@dominio.com</t>
  </si>
  <si>
    <t>trinidad.olivera@dominio.com</t>
  </si>
  <si>
    <t>fátima.alcaraz@dominio.com</t>
  </si>
  <si>
    <t>amparo.porcel@dominio.com</t>
  </si>
  <si>
    <t>aurelia.del@dominio.com</t>
  </si>
  <si>
    <t>quique.del@dominio.com</t>
  </si>
  <si>
    <t>miguel.de@dominio.com</t>
  </si>
  <si>
    <t>joaquina.palomino-llamas@dominio.com</t>
  </si>
  <si>
    <t>andrea.mateo@dominio.com</t>
  </si>
  <si>
    <t>marcelino.trujillo@dominio.com</t>
  </si>
  <si>
    <t>leandro.toledo@dominio.com</t>
  </si>
  <si>
    <t>jovita.de@dominio.com</t>
  </si>
  <si>
    <t>jordana.castells-giralt@dominio.com</t>
  </si>
  <si>
    <t>lorenzo.yago@dominio.com</t>
  </si>
  <si>
    <t>baldomero.galán@dominio.com</t>
  </si>
  <si>
    <t>diego.espiridión@dominio.com</t>
  </si>
  <si>
    <t>aroa.torres@dominio.com</t>
  </si>
  <si>
    <t>olegario.ortega@dominio.com</t>
  </si>
  <si>
    <t>felipa.rosell@dominio.com</t>
  </si>
  <si>
    <t>gabriela.charo@dominio.com</t>
  </si>
  <si>
    <t>samanta.monreal@dominio.com</t>
  </si>
  <si>
    <t>custodio.trillo@dominio.com</t>
  </si>
  <si>
    <t>fortunata.espada@dominio.com</t>
  </si>
  <si>
    <t>petrona.bellido@dominio.com</t>
  </si>
  <si>
    <t>juan.bejarano@dominio.com</t>
  </si>
  <si>
    <t>andrés.cantón@dominio.com</t>
  </si>
  <si>
    <t>milagros.hervia@dominio.com</t>
  </si>
  <si>
    <t>marc.novoa@dominio.com</t>
  </si>
  <si>
    <t>candelas.alberola@dominio.com</t>
  </si>
  <si>
    <t>albina.rivera@dominio.com</t>
  </si>
  <si>
    <t>bernardo.pelayo@dominio.com</t>
  </si>
  <si>
    <t>jonatan.serrano@dominio.com</t>
  </si>
  <si>
    <t>esther.aliaga@dominio.com</t>
  </si>
  <si>
    <t>consuelo.iniesta@dominio.com</t>
  </si>
  <si>
    <t>eusebia.hernández@dominio.com</t>
  </si>
  <si>
    <t>leocadio.prado@dominio.com</t>
  </si>
  <si>
    <t>eligia.flor@dominio.com</t>
  </si>
  <si>
    <t>abigaíl.pilar@dominio.com</t>
  </si>
  <si>
    <t>jennifer.del@dominio.com</t>
  </si>
  <si>
    <t>violeta.losada@dominio.com</t>
  </si>
  <si>
    <t>paola.dalmau@dominio.com</t>
  </si>
  <si>
    <t>bárbara.nevado@dominio.com</t>
  </si>
  <si>
    <t>olimpia.carballo@dominio.com</t>
  </si>
  <si>
    <t>amor.vázquez@dominio.com</t>
  </si>
  <si>
    <t>felicidad.alcalde@dominio.com</t>
  </si>
  <si>
    <t>antonia.ballesteros-duarte@dominio.com</t>
  </si>
  <si>
    <t>juan.carlos@dominio.com</t>
  </si>
  <si>
    <t>macaria.fuente@dominio.com</t>
  </si>
  <si>
    <t>simón.padilla@dominio.com</t>
  </si>
  <si>
    <t>nuria.casanovas@dominio.com</t>
  </si>
  <si>
    <t>tatiana.bermudez@dominio.com</t>
  </si>
  <si>
    <t>julieta.bosch@dominio.com</t>
  </si>
  <si>
    <t>perla.echevarría@dominio.com</t>
  </si>
  <si>
    <t>tito.abella@dominio.com</t>
  </si>
  <si>
    <t>andrés.vargas@dominio.com</t>
  </si>
  <si>
    <t>anna.espejo@dominio.com</t>
  </si>
  <si>
    <t>elvira.villalba@dominio.com</t>
  </si>
  <si>
    <t>manolo.villanueva@dominio.com</t>
  </si>
  <si>
    <t>iris.del@dominio.com</t>
  </si>
  <si>
    <t>íngrid.mayol@dominio.com</t>
  </si>
  <si>
    <t>olga.osorio@dominio.com</t>
  </si>
  <si>
    <t>reyes.galindo@dominio.com</t>
  </si>
  <si>
    <t>raúl.acedo@dominio.com</t>
  </si>
  <si>
    <t>roque.baeza@dominio.com</t>
  </si>
  <si>
    <t>tomás.tejada@dominio.com</t>
  </si>
  <si>
    <t>eugenia.del@dominio.com</t>
  </si>
  <si>
    <t>gabino.de@dominio.com</t>
  </si>
  <si>
    <t>jose.manuel@dominio.com</t>
  </si>
  <si>
    <t>felicidad.goicoechea@dominio.com</t>
  </si>
  <si>
    <t>plinio.del@dominio.com</t>
  </si>
  <si>
    <t>marino.de@dominio.com</t>
  </si>
  <si>
    <t>anselmo.carreño@dominio.com</t>
  </si>
  <si>
    <t>ruperto.álvarez@dominio.com</t>
  </si>
  <si>
    <t>ainoa.riba@dominio.com</t>
  </si>
  <si>
    <t>rosenda.rodriguez@dominio.com</t>
  </si>
  <si>
    <t>yolanda.acevedo@dominio.com</t>
  </si>
  <si>
    <t>marcia.marí@dominio.com</t>
  </si>
  <si>
    <t>anacleto.franch@dominio.com</t>
  </si>
  <si>
    <t>maría.pilar@dominio.com</t>
  </si>
  <si>
    <t>aitana.vallejo@dominio.com</t>
  </si>
  <si>
    <t>eligia.exposito@dominio.com</t>
  </si>
  <si>
    <t>josé.maría@dominio.com</t>
  </si>
  <si>
    <t>odalys.tejera@dominio.com</t>
  </si>
  <si>
    <t>isidora.de@dominio.com</t>
  </si>
  <si>
    <t>imelda.sandoval@dominio.com</t>
  </si>
  <si>
    <t>armando.escrivá-lladó@dominio.com</t>
  </si>
  <si>
    <t>fernanda.figueras@dominio.com</t>
  </si>
  <si>
    <t>cristian.cózar-barral@dominio.com</t>
  </si>
  <si>
    <t>gema.núñez@dominio.com</t>
  </si>
  <si>
    <t>alcides.borrell@dominio.com</t>
  </si>
  <si>
    <t>arsenio.raya@dominio.com</t>
  </si>
  <si>
    <t>albino.de@dominio.com</t>
  </si>
  <si>
    <t>gaspar.ferrer@dominio.com</t>
  </si>
  <si>
    <t>evita.salas@dominio.com</t>
  </si>
  <si>
    <t>dan.aureliano@dominio.com</t>
  </si>
  <si>
    <t>imelda.bru@dominio.com</t>
  </si>
  <si>
    <t>casemiro.escudero@dominio.com</t>
  </si>
  <si>
    <t>remigio.valverde@dominio.com</t>
  </si>
  <si>
    <t>candelaria.segovia@dominio.com</t>
  </si>
  <si>
    <t>dani.vilar@dominio.com</t>
  </si>
  <si>
    <t>amado.gonzález@dominio.com</t>
  </si>
  <si>
    <t>buenaventura.fabra@dominio.com</t>
  </si>
  <si>
    <t>herberto.dalmau@dominio.com</t>
  </si>
  <si>
    <t>macaria.ortuño@dominio.com</t>
  </si>
  <si>
    <t>57(6)28588</t>
  </si>
  <si>
    <t>57(6)97062</t>
  </si>
  <si>
    <t>57(6)81944</t>
  </si>
  <si>
    <t>57(6)89711</t>
  </si>
  <si>
    <t>57(6)49545</t>
  </si>
  <si>
    <t>57(6)77126</t>
  </si>
  <si>
    <t>57(6)66663</t>
  </si>
  <si>
    <t>57(6)91095</t>
  </si>
  <si>
    <t>57(6)94365</t>
  </si>
  <si>
    <t>57(6)10464</t>
  </si>
  <si>
    <t>57(6)81704</t>
  </si>
  <si>
    <t>57(6)91068</t>
  </si>
  <si>
    <t>57(6)57557</t>
  </si>
  <si>
    <t>57(6)06533</t>
  </si>
  <si>
    <t>57(6)94140</t>
  </si>
  <si>
    <t>57(6)49719</t>
  </si>
  <si>
    <t>57(6)68364</t>
  </si>
  <si>
    <t>57(6)00955</t>
  </si>
  <si>
    <t>57(6)75329</t>
  </si>
  <si>
    <t>57(6)48163</t>
  </si>
  <si>
    <t>57(6)27009</t>
  </si>
  <si>
    <t>57(6)25861</t>
  </si>
  <si>
    <t>57(6)72378</t>
  </si>
  <si>
    <t>57(6)45488</t>
  </si>
  <si>
    <t>57(6)52369</t>
  </si>
  <si>
    <t>57(6)71382</t>
  </si>
  <si>
    <t>57(6)84770</t>
  </si>
  <si>
    <t>57(6)08246</t>
  </si>
  <si>
    <t>57(6)30689</t>
  </si>
  <si>
    <t>57(6)24750</t>
  </si>
  <si>
    <t>57(6)28856</t>
  </si>
  <si>
    <t>57(6)85462</t>
  </si>
  <si>
    <t>57(6)53487</t>
  </si>
  <si>
    <t>57(6)81249</t>
  </si>
  <si>
    <t>57(6)92568</t>
  </si>
  <si>
    <t>57(6)30315</t>
  </si>
  <si>
    <t>57(6)14660</t>
  </si>
  <si>
    <t>57(6)26264</t>
  </si>
  <si>
    <t>57(6)73107</t>
  </si>
  <si>
    <t>57(6)17263</t>
  </si>
  <si>
    <t>57(6)26168</t>
  </si>
  <si>
    <t>57(6)79135</t>
  </si>
  <si>
    <t>57(6)27744</t>
  </si>
  <si>
    <t>57(6)42552</t>
  </si>
  <si>
    <t>57(6)63090</t>
  </si>
  <si>
    <t>57(6)02018</t>
  </si>
  <si>
    <t>57(6)75899</t>
  </si>
  <si>
    <t>57(6)01286</t>
  </si>
  <si>
    <t>57(6)11967</t>
  </si>
  <si>
    <t>57(6)93602</t>
  </si>
  <si>
    <t>57(6)42953</t>
  </si>
  <si>
    <t>57(6)41431</t>
  </si>
  <si>
    <t>57(6)71590</t>
  </si>
  <si>
    <t>57(6)61268</t>
  </si>
  <si>
    <t>57(6)98358</t>
  </si>
  <si>
    <t>57(6)23928</t>
  </si>
  <si>
    <t>57(6)12556</t>
  </si>
  <si>
    <t>57(6)83843</t>
  </si>
  <si>
    <t>57(6)50087</t>
  </si>
  <si>
    <t>57(6)86622</t>
  </si>
  <si>
    <t>57(6)85887</t>
  </si>
  <si>
    <t>57(6)18964</t>
  </si>
  <si>
    <t>57(6)23907</t>
  </si>
  <si>
    <t>57(6)93392</t>
  </si>
  <si>
    <t>57(6)71743</t>
  </si>
  <si>
    <t>57(6)92570</t>
  </si>
  <si>
    <t>57(6)42138</t>
  </si>
  <si>
    <t>57(6)91882</t>
  </si>
  <si>
    <t>57(6)11950</t>
  </si>
  <si>
    <t>57(6)68232</t>
  </si>
  <si>
    <t>57(6)31889</t>
  </si>
  <si>
    <t>57(6)13136</t>
  </si>
  <si>
    <t>57(6)95184</t>
  </si>
  <si>
    <t>57(6)46431</t>
  </si>
  <si>
    <t>57(6)57380</t>
  </si>
  <si>
    <t>57(6)44732</t>
  </si>
  <si>
    <t>57(6)24047</t>
  </si>
  <si>
    <t>57(6)47365</t>
  </si>
  <si>
    <t>57(6)99343</t>
  </si>
  <si>
    <t>57(6)09237</t>
  </si>
  <si>
    <t>57(6)91775</t>
  </si>
  <si>
    <t>57(6)58452</t>
  </si>
  <si>
    <t>57(6)27953</t>
  </si>
  <si>
    <t>57(6)33478</t>
  </si>
  <si>
    <t>57(6)28742</t>
  </si>
  <si>
    <t>57(6)72650</t>
  </si>
  <si>
    <t>57(6)55900</t>
  </si>
  <si>
    <t>57(6)33939</t>
  </si>
  <si>
    <t>57(6)83620</t>
  </si>
  <si>
    <t>57(6)02387</t>
  </si>
  <si>
    <t>57(6)35790</t>
  </si>
  <si>
    <t>57(6)16317</t>
  </si>
  <si>
    <t>57(6)41734</t>
  </si>
  <si>
    <t>57(6)72035</t>
  </si>
  <si>
    <t>57(6)86324</t>
  </si>
  <si>
    <t>57(6)87657</t>
  </si>
  <si>
    <t>57(6)48470</t>
  </si>
  <si>
    <t>57(6)14298</t>
  </si>
  <si>
    <t>57(6)75979</t>
  </si>
  <si>
    <t>57(6)97120</t>
  </si>
  <si>
    <t>57(6)63985</t>
  </si>
  <si>
    <t>57(6)73299</t>
  </si>
  <si>
    <t>57(6)46471</t>
  </si>
  <si>
    <t>57(6)37688</t>
  </si>
  <si>
    <t>57(6)38742</t>
  </si>
  <si>
    <t>57(6)99188</t>
  </si>
  <si>
    <t>57(6)45975</t>
  </si>
  <si>
    <t>57(6)19567</t>
  </si>
  <si>
    <t>57(6)30499</t>
  </si>
  <si>
    <t>57(6)92167</t>
  </si>
  <si>
    <t>57(6)20727</t>
  </si>
  <si>
    <t>57(6)19265</t>
  </si>
  <si>
    <t>57(6)38188</t>
  </si>
  <si>
    <t>57(6)17424</t>
  </si>
  <si>
    <t>57(6)69905</t>
  </si>
  <si>
    <t>57(6)18590</t>
  </si>
  <si>
    <t>57(6)11248</t>
  </si>
  <si>
    <t>57(6)42661</t>
  </si>
  <si>
    <t>57(6)72215</t>
  </si>
  <si>
    <t>57(6)32622</t>
  </si>
  <si>
    <t>57(6)74933</t>
  </si>
  <si>
    <t>57(6)65290</t>
  </si>
  <si>
    <t>57(6)74341</t>
  </si>
  <si>
    <t>57(6)98720</t>
  </si>
  <si>
    <t>57(6)93456</t>
  </si>
  <si>
    <t>57(6)74178</t>
  </si>
  <si>
    <t>57(6)75194</t>
  </si>
  <si>
    <t>57(6)02636</t>
  </si>
  <si>
    <t>57(6)76558</t>
  </si>
  <si>
    <t>57(6)77923</t>
  </si>
  <si>
    <t>57(6)91118</t>
  </si>
  <si>
    <t>57(6)75484</t>
  </si>
  <si>
    <t>57(6)94158</t>
  </si>
  <si>
    <t>57(6)26481</t>
  </si>
  <si>
    <t>57(6)49041</t>
  </si>
  <si>
    <t>57(6)11523</t>
  </si>
  <si>
    <t>57(6)20968</t>
  </si>
  <si>
    <t>57(6)58874</t>
  </si>
  <si>
    <t>57(6)57305</t>
  </si>
  <si>
    <t>57(6)30335</t>
  </si>
  <si>
    <t>57(6)86648</t>
  </si>
  <si>
    <t>57(6)80077</t>
  </si>
  <si>
    <t>57(6)13700</t>
  </si>
  <si>
    <t>57(6)76806</t>
  </si>
  <si>
    <t>57(6)59593</t>
  </si>
  <si>
    <t>57(6)51616</t>
  </si>
  <si>
    <t>57(6)14512</t>
  </si>
  <si>
    <t>57(6)03684</t>
  </si>
  <si>
    <t>57(6)91382</t>
  </si>
  <si>
    <t>57(6)28987</t>
  </si>
  <si>
    <t>57(6)82444</t>
  </si>
  <si>
    <t>57(6)96558</t>
  </si>
  <si>
    <t>57(6)79137</t>
  </si>
  <si>
    <t>57(6)07745</t>
  </si>
  <si>
    <t>57(6)38826</t>
  </si>
  <si>
    <t>57(6)55999</t>
  </si>
  <si>
    <t>57(6)09054</t>
  </si>
  <si>
    <t>57(6)32846</t>
  </si>
  <si>
    <t>57(6)07371</t>
  </si>
  <si>
    <t>57(6)74757</t>
  </si>
  <si>
    <t>57(6)12902</t>
  </si>
  <si>
    <t>57(6)42858</t>
  </si>
  <si>
    <t>57(6)42526</t>
  </si>
  <si>
    <t>57(6)97824</t>
  </si>
  <si>
    <t>57(6)21407</t>
  </si>
  <si>
    <t>57(6)49440</t>
  </si>
  <si>
    <t>57(6)34020</t>
  </si>
  <si>
    <t>57(6)54107</t>
  </si>
  <si>
    <t>57(6)26509</t>
  </si>
  <si>
    <t>57(6)02142</t>
  </si>
  <si>
    <t>57(6)67811</t>
  </si>
  <si>
    <t>57(6)85387</t>
  </si>
  <si>
    <t>57(6)73883</t>
  </si>
  <si>
    <t>57(6)65316</t>
  </si>
  <si>
    <t>57(6)16531</t>
  </si>
  <si>
    <t>57(6)28419</t>
  </si>
  <si>
    <t>57(6)08146</t>
  </si>
  <si>
    <t>57(6)84272</t>
  </si>
  <si>
    <t>57(6)39160</t>
  </si>
  <si>
    <t>57(6)02455</t>
  </si>
  <si>
    <t>57(6)28479</t>
  </si>
  <si>
    <t>57(6)30154</t>
  </si>
  <si>
    <t>57(6)42279</t>
  </si>
  <si>
    <t>57(6)33450</t>
  </si>
  <si>
    <t>57(6)30785</t>
  </si>
  <si>
    <t>57(6)48186</t>
  </si>
  <si>
    <t>57(6)20236</t>
  </si>
  <si>
    <t>57(6)21948</t>
  </si>
  <si>
    <t>57(6)91347</t>
  </si>
  <si>
    <t>57(6)90469</t>
  </si>
  <si>
    <t>57(6)03821</t>
  </si>
  <si>
    <t>57(6)43667</t>
  </si>
  <si>
    <t>57(6)39324</t>
  </si>
  <si>
    <t>57(6)23357</t>
  </si>
  <si>
    <t>57(6)87124</t>
  </si>
  <si>
    <t>57(6)34416</t>
  </si>
  <si>
    <t>57(6)70037</t>
  </si>
  <si>
    <t>57(6)60793</t>
  </si>
  <si>
    <t>57(6)15551</t>
  </si>
  <si>
    <t>Calle 17#56-94</t>
  </si>
  <si>
    <t>Carrera 55#44-31</t>
  </si>
  <si>
    <t>Diagonal 62#69-50</t>
  </si>
  <si>
    <t>Avenida 127#90-89</t>
  </si>
  <si>
    <t>Calle 14#56-95</t>
  </si>
  <si>
    <t>Carrera 11#44-36</t>
  </si>
  <si>
    <t>Diagonal 187#86-77</t>
  </si>
  <si>
    <t>Calle 115#39-32</t>
  </si>
  <si>
    <t>Calle 115#61-36</t>
  </si>
  <si>
    <t>Calle 115#83-38</t>
  </si>
  <si>
    <t>Calle 170#38-16</t>
  </si>
  <si>
    <t>Calle 161#86-80</t>
  </si>
  <si>
    <t>Calle 33#84-75</t>
  </si>
  <si>
    <t>Calle 33#11-57</t>
  </si>
  <si>
    <t>Calle 70#77-76</t>
  </si>
  <si>
    <t>Carrera 199#61-32</t>
  </si>
  <si>
    <t>Carrera 135#19-13</t>
  </si>
  <si>
    <t>Carrera 34#17-27</t>
  </si>
  <si>
    <t>Carrera 62#60-62</t>
  </si>
  <si>
    <t>Carrera 22#87-62</t>
  </si>
  <si>
    <t>Calle 163#58-17</t>
  </si>
  <si>
    <t>Calle 78#25-80</t>
  </si>
  <si>
    <t>Calle 27#95-90</t>
  </si>
  <si>
    <t>Calle 152#63-15</t>
  </si>
  <si>
    <t>Calle 178#96-26</t>
  </si>
  <si>
    <t>Calle 187#39-35</t>
  </si>
  <si>
    <t>Calle 79#62-34</t>
  </si>
  <si>
    <t>Calle 161#60-78</t>
  </si>
  <si>
    <t>Calle 165#69-32</t>
  </si>
  <si>
    <t>Calle 34#55-41</t>
  </si>
  <si>
    <t>Calle 181#1-43</t>
  </si>
  <si>
    <t>Calle 62#11-82</t>
  </si>
  <si>
    <t>Calle 93#72-81</t>
  </si>
  <si>
    <t>Calle 75#71-64</t>
  </si>
  <si>
    <t>Calle 76#21-82</t>
  </si>
  <si>
    <t>Calle 148#20-18</t>
  </si>
  <si>
    <t>Calle 56#41-66</t>
  </si>
  <si>
    <t>Calle 49#93-61</t>
  </si>
  <si>
    <t>Diagonal 33#79-1</t>
  </si>
  <si>
    <t>Avenida 104#45-72</t>
  </si>
  <si>
    <t>Calle 148#52-9</t>
  </si>
  <si>
    <t>Carrera 106#25-34</t>
  </si>
  <si>
    <t>Diagonal 73#26-55</t>
  </si>
  <si>
    <t>Avenida 200#10-21</t>
  </si>
  <si>
    <t>Calle 109#35-96</t>
  </si>
  <si>
    <t>Carrera 146#25-6</t>
  </si>
  <si>
    <t>Diagonal 199#80-63</t>
  </si>
  <si>
    <t>Avenida 102#58-23</t>
  </si>
  <si>
    <t>Calle 155#26-24</t>
  </si>
  <si>
    <t>Carrera 93#54-7</t>
  </si>
  <si>
    <t>Diagonal 70#26-12</t>
  </si>
  <si>
    <t>Avenida 23#35-99</t>
  </si>
  <si>
    <t>Calle 185#97-88</t>
  </si>
  <si>
    <t>Carrera 25#6-46</t>
  </si>
  <si>
    <t>Diagonal 17#13-52</t>
  </si>
  <si>
    <t>Avenida 53#89-66</t>
  </si>
  <si>
    <t>Calle 109#57-24</t>
  </si>
  <si>
    <t>Carrera 124#27-15</t>
  </si>
  <si>
    <t>Diagonal 183#41-60</t>
  </si>
  <si>
    <t>Avenida 147#76-20</t>
  </si>
  <si>
    <t>Calle 141#34-35</t>
  </si>
  <si>
    <t>Carrera 42#55-48</t>
  </si>
  <si>
    <t>Diagonal 49#61-35</t>
  </si>
  <si>
    <t>Avenida 81#53-100</t>
  </si>
  <si>
    <t>Calle 68#97-27</t>
  </si>
  <si>
    <t>Carrera 12#19-62</t>
  </si>
  <si>
    <t>Diagonal 77#62-23</t>
  </si>
  <si>
    <t>Avenida 129#2-51</t>
  </si>
  <si>
    <t>Calle 14#31-47</t>
  </si>
  <si>
    <t>Carrera 131#80-80</t>
  </si>
  <si>
    <t>Diagonal 112#80-29</t>
  </si>
  <si>
    <t>Avenida 128#73-90</t>
  </si>
  <si>
    <t>Calle 69#24-27</t>
  </si>
  <si>
    <t>Carrera 59#55-92</t>
  </si>
  <si>
    <t>Diagonal 53#48-81</t>
  </si>
  <si>
    <t>Avenida 110#33-3</t>
  </si>
  <si>
    <t>Calle 12#32-38</t>
  </si>
  <si>
    <t>Carrera 105#36-56</t>
  </si>
  <si>
    <t>Diagonal 178#88-25</t>
  </si>
  <si>
    <t>Avenida 39#8-97</t>
  </si>
  <si>
    <t>Calle 19#64-54</t>
  </si>
  <si>
    <t>Carrera 155#45-9</t>
  </si>
  <si>
    <t>Diagonal 103#3-24</t>
  </si>
  <si>
    <t>Avenida 188#47-83</t>
  </si>
  <si>
    <t>Calle 48#62-13</t>
  </si>
  <si>
    <t>Carrera 27#37-15</t>
  </si>
  <si>
    <t>Diagonal 128#60-66</t>
  </si>
  <si>
    <t>Avenida 140#44-46</t>
  </si>
  <si>
    <t>Calle 35#77-49</t>
  </si>
  <si>
    <t>Carrera 180#6-33</t>
  </si>
  <si>
    <t>Diagonal 183#20-57</t>
  </si>
  <si>
    <t>Avenida 143#75-99</t>
  </si>
  <si>
    <t>Calle 80#100-77</t>
  </si>
  <si>
    <t>Carrera 89#59-77</t>
  </si>
  <si>
    <t>Diagonal 45#29-70</t>
  </si>
  <si>
    <t>Avenida 24#58-75</t>
  </si>
  <si>
    <t>Calle 186#26-8</t>
  </si>
  <si>
    <t>Carrera 154#35-74</t>
  </si>
  <si>
    <t>Diagonal 122#46-100</t>
  </si>
  <si>
    <t>Avenida 55#38-27</t>
  </si>
  <si>
    <t>Calle 64#32-97</t>
  </si>
  <si>
    <t>Carrera 78#82-83</t>
  </si>
  <si>
    <t>Diagonal 130#18-80</t>
  </si>
  <si>
    <t>Avenida 158#5-60</t>
  </si>
  <si>
    <t>Calle 34#36-86</t>
  </si>
  <si>
    <t>Carrera 146#16-55</t>
  </si>
  <si>
    <t>Diagonal 24#55-32</t>
  </si>
  <si>
    <t>Avenida 116#32-99</t>
  </si>
  <si>
    <t>Calle 115#23-97</t>
  </si>
  <si>
    <t>Carrera 58#60-78</t>
  </si>
  <si>
    <t>Diagonal 129#79-24</t>
  </si>
  <si>
    <t>Avenida 18#47-28</t>
  </si>
  <si>
    <t>Calle 164#66-60</t>
  </si>
  <si>
    <t>Carrera 80#76-56</t>
  </si>
  <si>
    <t>Diagonal 199#91-37</t>
  </si>
  <si>
    <t>Avenida 130#76-82</t>
  </si>
  <si>
    <t>Calle 32#98-87</t>
  </si>
  <si>
    <t>Carrera 50#93-57</t>
  </si>
  <si>
    <t>Diagonal 100#23-15</t>
  </si>
  <si>
    <t>Avenida 84#62-53</t>
  </si>
  <si>
    <t>Calle 117#62-55</t>
  </si>
  <si>
    <t>Carrera 70#14-9</t>
  </si>
  <si>
    <t>Diagonal 132#72-76</t>
  </si>
  <si>
    <t>Avenida 15#87-90</t>
  </si>
  <si>
    <t>Calle 82#68-35</t>
  </si>
  <si>
    <t>Carrera 180#8-23</t>
  </si>
  <si>
    <t>Diagonal 199#14-47</t>
  </si>
  <si>
    <t>Avenida 128#19-93</t>
  </si>
  <si>
    <t>Calle 65#27-63</t>
  </si>
  <si>
    <t>Carrera 98#21-78</t>
  </si>
  <si>
    <t>Diagonal 63#25-18</t>
  </si>
  <si>
    <t>Avenida 42#9-62</t>
  </si>
  <si>
    <t>Calle 80#71-2</t>
  </si>
  <si>
    <t>Carrera 173#73-41</t>
  </si>
  <si>
    <t>Diagonal 24#4-68</t>
  </si>
  <si>
    <t>Avenida 191#76-35</t>
  </si>
  <si>
    <t>Calle 185#19-25</t>
  </si>
  <si>
    <t>Carrera 157#89-90</t>
  </si>
  <si>
    <t>Diagonal 103#42-8</t>
  </si>
  <si>
    <t>Avenida 78#12-96</t>
  </si>
  <si>
    <t>Calle 31#57-13</t>
  </si>
  <si>
    <t>Carrera 177#21-72</t>
  </si>
  <si>
    <t>Diagonal 130#98-20</t>
  </si>
  <si>
    <t>Avenida 174#75-22</t>
  </si>
  <si>
    <t>Calle 80#49-61</t>
  </si>
  <si>
    <t>Carrera 54#92-29</t>
  </si>
  <si>
    <t>Diagonal 34#41-57</t>
  </si>
  <si>
    <t>Avenida 40#14-79</t>
  </si>
  <si>
    <t>Calle 60#91-69</t>
  </si>
  <si>
    <t>Carrera 125#66-22</t>
  </si>
  <si>
    <t>Diagonal 23#6-30</t>
  </si>
  <si>
    <t>Avenida 25#76-56</t>
  </si>
  <si>
    <t>Calle 90#94-24</t>
  </si>
  <si>
    <t>Carrera 82#59-23</t>
  </si>
  <si>
    <t>Diagonal 188#82-53</t>
  </si>
  <si>
    <t>Avenida 17#38-77</t>
  </si>
  <si>
    <t>Calle 23#55-17</t>
  </si>
  <si>
    <t>Carrera 88#34-24</t>
  </si>
  <si>
    <t>Diagonal 103#30-64</t>
  </si>
  <si>
    <t>Avenida 36#61-15</t>
  </si>
  <si>
    <t>Calle 176#4-61</t>
  </si>
  <si>
    <t>Carrera 30#42-86</t>
  </si>
  <si>
    <t>Diagonal 128#50-35</t>
  </si>
  <si>
    <t>Avenida 176#47-31</t>
  </si>
  <si>
    <t>Calle 19#52-69</t>
  </si>
  <si>
    <t>Carrera 160#24-44</t>
  </si>
  <si>
    <t>Diagonal 42#45-83</t>
  </si>
  <si>
    <t>Avenida 144#51-15</t>
  </si>
  <si>
    <t>Calle 135#64-4</t>
  </si>
  <si>
    <t>Carrera 75#13-98</t>
  </si>
  <si>
    <t>Diagonal 74#10-41</t>
  </si>
  <si>
    <t>Avenida 116#8-7</t>
  </si>
  <si>
    <t>Calle 56#34-38</t>
  </si>
  <si>
    <t>Carrera 64#52-97</t>
  </si>
  <si>
    <t>Diagonal 112#77-74</t>
  </si>
  <si>
    <t>Avenida 52#69-66</t>
  </si>
  <si>
    <t>Calle 11#64-81</t>
  </si>
  <si>
    <t>Carrera 200#84-24</t>
  </si>
  <si>
    <t>Diagonal 93#26-12</t>
  </si>
  <si>
    <t>Avenida 74#31-19</t>
  </si>
  <si>
    <t>Calle 70#25-88</t>
  </si>
  <si>
    <t>Carrera 193#67-78</t>
  </si>
  <si>
    <t>Diagonal 49#36-16</t>
  </si>
  <si>
    <t>Avenida 144#86-8</t>
  </si>
  <si>
    <t>Calle 14#16-80</t>
  </si>
  <si>
    <t>Carrera 93#1-81</t>
  </si>
  <si>
    <t>Diagonal 119#24-56</t>
  </si>
  <si>
    <t>Avenida 144#81-53</t>
  </si>
  <si>
    <t>Calle 115#85-58</t>
  </si>
  <si>
    <t>Carrera 34#77-32</t>
  </si>
  <si>
    <t>Diagonal 129#73-85</t>
  </si>
  <si>
    <t>Avenida 48#48-94</t>
  </si>
  <si>
    <t>Calle 112#17-6</t>
  </si>
  <si>
    <t>Carrera 127#55-16</t>
  </si>
  <si>
    <t>Diagonal 175#72-43</t>
  </si>
  <si>
    <t>Avenida 36#45-88</t>
  </si>
  <si>
    <t>Calle 112#43-19</t>
  </si>
  <si>
    <t>Carrera 115#98-60</t>
  </si>
  <si>
    <t>Diagonal 85#90-50</t>
  </si>
  <si>
    <t>T001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</si>
  <si>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</si>
  <si>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</si>
  <si>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</si>
  <si>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</si>
  <si>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</si>
  <si>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</si>
  <si>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</si>
  <si>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</si>
  <si>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</si>
  <si>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Yogurt líquido sin sabor litro</t>
  </si>
  <si>
    <t>Yogurt líquido saborizado litro</t>
  </si>
  <si>
    <t>Yogurt líquido con fruta litro</t>
  </si>
  <si>
    <t>Yogurt líquido sin sabor 1/2 litro</t>
  </si>
  <si>
    <t>Yogurt líquido saborizado 1/2 litro</t>
  </si>
  <si>
    <t>Yogurt líquido con fruta 1/2 litro</t>
  </si>
  <si>
    <t>Yogurt Griego 500 g</t>
  </si>
  <si>
    <t>Yogurt Griego 270 g</t>
  </si>
  <si>
    <t>Yogurt Griego con cama de frutas 500 g</t>
  </si>
  <si>
    <t>Yogurt Griego 270 con cama de frutas g</t>
  </si>
  <si>
    <t>Número de Factura:</t>
  </si>
  <si>
    <t>Cliente:</t>
  </si>
  <si>
    <t>Fecha:</t>
  </si>
  <si>
    <t>Cédula / NIT:</t>
  </si>
  <si>
    <t>e-mail cliente</t>
  </si>
  <si>
    <t>Teléfono cliente:</t>
  </si>
  <si>
    <t>Dirección cliente:</t>
  </si>
  <si>
    <t>Vendedor:</t>
  </si>
  <si>
    <t>C.C Vendedor:</t>
  </si>
  <si>
    <t>DESCRIPCIÓN</t>
  </si>
  <si>
    <t>CANTIDAD</t>
  </si>
  <si>
    <t>PRECIO DE VENTA</t>
  </si>
  <si>
    <t>TOTAL</t>
  </si>
  <si>
    <t>SUMA</t>
  </si>
  <si>
    <t>DESCUENTO</t>
  </si>
  <si>
    <t>IVA</t>
  </si>
  <si>
    <t>TOTAL A PAGAR</t>
  </si>
  <si>
    <t>FORMA DE PAGO:</t>
  </si>
  <si>
    <t>FECHA DE ENVÍO:</t>
  </si>
  <si>
    <t>COD. PRODUCTO</t>
  </si>
  <si>
    <t>Descuento1</t>
  </si>
  <si>
    <t>Descuento2</t>
  </si>
  <si>
    <t>Descuento3</t>
  </si>
  <si>
    <t>Descuento4</t>
  </si>
  <si>
    <t>Cantidad</t>
  </si>
  <si>
    <t>Total</t>
  </si>
  <si>
    <t>mes</t>
  </si>
  <si>
    <t>Mayo</t>
  </si>
  <si>
    <t>Junio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</si>
  <si>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</si>
  <si>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</si>
  <si>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</si>
  <si>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</si>
  <si>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</si>
  <si>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</si>
  <si>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</si>
  <si>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</si>
  <si>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</si>
  <si>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Nombre Vendedor</t>
  </si>
  <si>
    <t>Mes</t>
  </si>
  <si>
    <t>CódigoV</t>
  </si>
  <si>
    <t>CC.VendedorV</t>
  </si>
  <si>
    <t>venta en unidades</t>
  </si>
  <si>
    <t>C.C Vendedor</t>
  </si>
  <si>
    <t>Nombre vendedor</t>
  </si>
  <si>
    <t>Unidades vendidas</t>
  </si>
  <si>
    <t>ANÁLISIS VENTAS</t>
  </si>
  <si>
    <t>VENTAS POR MES</t>
  </si>
  <si>
    <t>VENTAS POR VENDEDOR</t>
  </si>
  <si>
    <t>VENTAS POR PRODUCTO</t>
  </si>
  <si>
    <t>Código Producto</t>
  </si>
  <si>
    <t>Nombre Producto</t>
  </si>
  <si>
    <t>Ventas (COP)</t>
  </si>
  <si>
    <t>venta (COP)</t>
  </si>
  <si>
    <t>Etiquetas de fila</t>
  </si>
  <si>
    <t>Antonio Pérez</t>
  </si>
  <si>
    <t>Carlos González</t>
  </si>
  <si>
    <t>Carlos Ramírez</t>
  </si>
  <si>
    <t>Claudia Gómez</t>
  </si>
  <si>
    <t>Juan Tamaríz</t>
  </si>
  <si>
    <t>María López</t>
  </si>
  <si>
    <t>Pedro Bedoya</t>
  </si>
  <si>
    <t>Raúl Velazco</t>
  </si>
  <si>
    <t>Sandra Perea</t>
  </si>
  <si>
    <t>Stella Trois</t>
  </si>
  <si>
    <t>Total general</t>
  </si>
  <si>
    <t>Suma de Total</t>
  </si>
  <si>
    <t>(Varios elementos)</t>
  </si>
  <si>
    <t>Total_Factura</t>
  </si>
  <si>
    <t>Fecha</t>
  </si>
  <si>
    <t>Vendedor</t>
  </si>
  <si>
    <t>Cliente</t>
  </si>
  <si>
    <t>Factura N°</t>
  </si>
  <si>
    <t>Descuento</t>
  </si>
  <si>
    <t>Contado</t>
  </si>
  <si>
    <t>Gregorio Cabrera</t>
  </si>
  <si>
    <t>Suma de 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</si>
</sst>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_-[$$-240A]\ * #,##0.00_-;\-[$$-240A]\ * #,##0.00_-;_-[$$-240A]\ * &quot;-&quot;??_-;_-@_-"/>
    <numFmt numFmtId="165" formatCode="_-[$$-240A]\ * #,##0_-;\-[$$-240A]\ * #,##0_-;_-[$$-240A]\ * &quot;-&quot;??_-;_-@_-"/>
    <numFmt numFmtId="166" formatCode="_-&quot;$&quot;\ * #,##0_-;\-&quot;$&quot;\ * #,##0_-;_-&quot;$&quot;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ooper Black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83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164" fontId="0" fillId="0" borderId="1" xfId="0" applyNumberFormat="1" applyBorder="1" applyAlignment="1">
      <alignment horizontal="right" shrinkToFit="1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3" xfId="1" applyBorder="1"/>
    <xf numFmtId="0" fontId="0" fillId="0" borderId="3" xfId="0" applyBorder="1"/>
    <xf numFmtId="0" fontId="0" fillId="0" borderId="8" xfId="0" applyBorder="1"/>
    <xf numFmtId="164" fontId="0" fillId="0" borderId="3" xfId="0" applyNumberFormat="1" applyBorder="1" applyAlignment="1">
      <alignment horizontal="right" wrapText="1" shrinkToFit="1"/>
    </xf>
    <xf numFmtId="164" fontId="0" fillId="0" borderId="7" xfId="0" applyNumberFormat="1" applyBorder="1" applyAlignment="1">
      <alignment horizontal="right" wrapText="1" shrinkToFit="1"/>
    </xf>
    <xf numFmtId="0" fontId="5" fillId="0" borderId="0" xfId="0" applyFont="1"/>
    <xf numFmtId="9" fontId="0" fillId="0" borderId="0" xfId="2" applyFont="1"/>
    <xf numFmtId="0" fontId="0" fillId="4" borderId="1" xfId="0" applyFill="1" applyBorder="1"/>
    <xf numFmtId="9" fontId="0" fillId="0" borderId="1" xfId="2" applyFont="1" applyBorder="1"/>
    <xf numFmtId="0" fontId="0" fillId="0" borderId="0" xfId="0" applyAlignment="1">
      <alignment horizontal="center"/>
    </xf>
    <xf numFmtId="14" fontId="0" fillId="0" borderId="0" xfId="0" applyNumberFormat="1"/>
    <xf numFmtId="44" fontId="0" fillId="0" borderId="0" xfId="0" applyNumberFormat="1"/>
    <xf numFmtId="49" fontId="0" fillId="0" borderId="0" xfId="0" applyNumberFormat="1"/>
    <xf numFmtId="0" fontId="0" fillId="0" borderId="1" xfId="0" applyBorder="1" applyAlignment="1" applyProtection="1">
      <alignment horizontal="center"/>
      <protection hidden="1"/>
    </xf>
    <xf numFmtId="164" fontId="0" fillId="0" borderId="1" xfId="0" applyNumberFormat="1" applyBorder="1" applyAlignment="1" applyProtection="1">
      <alignment horizontal="right" wrapText="1" shrinkToFit="1"/>
      <protection hidden="1"/>
    </xf>
    <xf numFmtId="164" fontId="0" fillId="0" borderId="14" xfId="0" applyNumberFormat="1" applyBorder="1" applyAlignment="1" applyProtection="1">
      <alignment horizontal="right" wrapText="1" shrinkToFit="1"/>
      <protection hidden="1"/>
    </xf>
    <xf numFmtId="164" fontId="1" fillId="0" borderId="20" xfId="0" applyNumberFormat="1" applyFont="1" applyBorder="1" applyAlignment="1" applyProtection="1">
      <alignment horizontal="right" wrapText="1" shrinkToFit="1"/>
      <protection hidden="1"/>
    </xf>
    <xf numFmtId="0" fontId="1" fillId="3" borderId="10" xfId="0" applyFont="1" applyFill="1" applyBorder="1" applyAlignment="1" applyProtection="1">
      <alignment horizontal="right"/>
      <protection locked="0"/>
    </xf>
    <xf numFmtId="0" fontId="0" fillId="0" borderId="11" xfId="0" applyNumberFormat="1" applyBorder="1" applyAlignment="1" applyProtection="1">
      <alignment horizontal="center"/>
      <protection locked="0"/>
    </xf>
    <xf numFmtId="0" fontId="1" fillId="3" borderId="11" xfId="0" applyFont="1" applyFill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" fillId="3" borderId="13" xfId="0" applyFont="1" applyFill="1" applyBorder="1" applyAlignment="1" applyProtection="1">
      <alignment horizontal="right"/>
      <protection locked="0"/>
    </xf>
    <xf numFmtId="14" fontId="0" fillId="0" borderId="11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6" xfId="0" applyBorder="1" applyProtection="1">
      <protection locked="0"/>
    </xf>
    <xf numFmtId="0" fontId="1" fillId="5" borderId="13" xfId="0" applyFont="1" applyFill="1" applyBorder="1" applyAlignment="1" applyProtection="1">
      <alignment horizontal="center"/>
      <protection locked="0"/>
    </xf>
    <xf numFmtId="0" fontId="1" fillId="5" borderId="1" xfId="0" applyFont="1" applyFill="1" applyBorder="1" applyAlignment="1" applyProtection="1">
      <alignment horizontal="center"/>
      <protection locked="0"/>
    </xf>
    <xf numFmtId="0" fontId="1" fillId="5" borderId="14" xfId="0" applyFont="1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0" fontId="4" fillId="0" borderId="13" xfId="0" applyFont="1" applyBorder="1" applyAlignment="1" applyProtection="1">
      <alignment horizontal="right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right"/>
      <protection locked="0"/>
    </xf>
    <xf numFmtId="14" fontId="0" fillId="5" borderId="1" xfId="0" applyNumberFormat="1" applyFill="1" applyBorder="1" applyAlignment="1" applyProtection="1">
      <alignment horizontal="center"/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1" fillId="0" borderId="19" xfId="0" applyFont="1" applyBorder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0" borderId="1" xfId="0" applyBorder="1" applyProtection="1">
      <protection locked="0"/>
    </xf>
    <xf numFmtId="164" fontId="0" fillId="0" borderId="1" xfId="0" applyNumberFormat="1" applyBorder="1" applyAlignment="1" applyProtection="1">
      <alignment horizontal="right" shrinkToFit="1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Protection="1">
      <protection locked="0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164" fontId="0" fillId="0" borderId="8" xfId="0" applyNumberFormat="1" applyBorder="1" applyAlignment="1" applyProtection="1">
      <alignment horizontal="right" shrinkToFit="1"/>
      <protection locked="0"/>
    </xf>
    <xf numFmtId="0" fontId="0" fillId="0" borderId="1" xfId="0" applyBorder="1" applyProtection="1">
      <protection hidden="1"/>
    </xf>
    <xf numFmtId="165" fontId="0" fillId="0" borderId="1" xfId="0" applyNumberFormat="1" applyFont="1" applyFill="1" applyBorder="1" applyProtection="1">
      <protection hidden="1"/>
    </xf>
    <xf numFmtId="165" fontId="0" fillId="0" borderId="1" xfId="0" applyNumberFormat="1" applyBorder="1" applyProtection="1">
      <protection hidden="1"/>
    </xf>
    <xf numFmtId="165" fontId="0" fillId="0" borderId="8" xfId="0" applyNumberForma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42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ipervínculo" xfId="1" builtinId="8"/>
    <cellStyle name="Normal" xfId="0" builtinId="0"/>
    <cellStyle name="Porcentaje" xfId="2" builtinId="5"/>
  </cellStyles>
  <dxfs count="62">
    <dxf>
      <numFmt numFmtId="164" formatCode="_-[$$-240A]\ * #,##0.00_-;\-[$$-240A]\ * #,##0.00_-;_-[$$-240A]\ * &quot;-&quot;??_-;_-@_-"/>
      <alignment horizontal="right" vertical="bottom" textRotation="0" wrapText="1" indent="0" justifyLastLine="0" shrinkToFit="1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19" formatCode="d/mm/yyyy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alignment horizontal="center" vertical="bottom" textRotation="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_-[$$-240A]\ * #,##0_-;\-[$$-240A]\ * #,##0_-;_-[$$-240A]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right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66" formatCode="_-&quot;$&quot;\ * #,##0_-;\-&quot;$&quot;\ * #,##0_-;_-&quot;$&quot;\ * &quot;-&quot;??_-;_-@_-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2" formatCode="_-&quot;$&quot;\ * #,##0_-;\-&quot;$&quot;\ * #,##0_-;_-&quot;$&quot;\ * &quot;-&quot;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[91290852 Taller 4.xlsm]Tablas dinámicas!TablaDinámica1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Ventas (COP)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dinámicas'!$A$4:$A$14</c:f>
              <c:strCache>
                <c:ptCount val="10"/>
                <c:pt idx="0">
                  <c:v>Antonio Pérez</c:v>
                </c:pt>
                <c:pt idx="1">
                  <c:v>Carlos González</c:v>
                </c:pt>
                <c:pt idx="2">
                  <c:v>Carlos Ramírez</c:v>
                </c:pt>
                <c:pt idx="3">
                  <c:v>Claudia Gómez</c:v>
                </c:pt>
                <c:pt idx="4">
                  <c:v>Juan Tamaríz</c:v>
                </c:pt>
                <c:pt idx="5">
                  <c:v>María López</c:v>
                </c:pt>
                <c:pt idx="6">
                  <c:v>Pedro Bedoya</c:v>
                </c:pt>
                <c:pt idx="7">
                  <c:v>Raúl Velazco</c:v>
                </c:pt>
                <c:pt idx="8">
                  <c:v>Sandra Perea</c:v>
                </c:pt>
                <c:pt idx="9">
                  <c:v>Stella Trois</c:v>
                </c:pt>
              </c:strCache>
            </c:strRef>
          </c:cat>
          <c:val>
            <c:numRef>
              <c:f>'Tablas dinámicas'!$B$4:$B$14</c:f>
              <c:numCache>
                <c:formatCode>_("$"* #,##0_);_("$"* \(#,##0\);_("$"* "-"_);_(@_)</c:formatCode>
                <c:ptCount val="10"/>
                <c:pt idx="0">
                  <c:v>54000.9</c:v>
                </c:pt>
                <c:pt idx="1">
                  <c:v>36000.600000000006</c:v>
                </c:pt>
                <c:pt idx="2">
                  <c:v>24402</c:v>
                </c:pt>
                <c:pt idx="3">
                  <c:v>22000.48</c:v>
                </c:pt>
                <c:pt idx="4">
                  <c:v>225002.25</c:v>
                </c:pt>
                <c:pt idx="5">
                  <c:v>160002.79999999999</c:v>
                </c:pt>
                <c:pt idx="6">
                  <c:v>24401.200000000001</c:v>
                </c:pt>
                <c:pt idx="7">
                  <c:v>24002</c:v>
                </c:pt>
                <c:pt idx="8">
                  <c:v>192007.20000000004</c:v>
                </c:pt>
                <c:pt idx="9">
                  <c:v>480014.00000000006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8-4FF1-8622-A600F3A74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4543999"/>
        <c:axId val="1864560639"/>
      </c:barChart>
      <c:catAx>
        <c:axId val="1864543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Nombre del Vendedor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64560639"/>
        <c:crosses val="autoZero"/>
        <c:auto val="1"/>
        <c:lblAlgn val="ctr"/>
        <c:lblOffset val="100"/>
        <c:noMultiLvlLbl val="0"/>
      </c:catAx>
      <c:valAx>
        <c:axId val="186456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Ventas (COP)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64543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[91290852 Taller 4.xlsm]Tablas dinámicas!TablaDinámica2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Ventas (COP) por producto</a:t>
            </a:r>
          </a:p>
        </c:rich>
      </c:tx>
      <c:layout>
        <c:manualLayout>
          <c:xMode val="edge"/>
          <c:yMode val="edge"/>
          <c:x val="0.29229155730533679"/>
          <c:y val="3.46333943039984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dinámicas'!$I$3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dinámicas'!$H$4:$H$14</c:f>
              <c:strCache>
                <c:ptCount val="10"/>
                <c:pt idx="0">
                  <c:v>Yogurt Griego 270 con cama de frutas g</c:v>
                </c:pt>
                <c:pt idx="1">
                  <c:v>Yogurt Griego 270 g</c:v>
                </c:pt>
                <c:pt idx="2">
                  <c:v>Yogurt Griego 500 g</c:v>
                </c:pt>
                <c:pt idx="3">
                  <c:v>Yogurt Griego con cama de frutas 500 g</c:v>
                </c:pt>
                <c:pt idx="4">
                  <c:v>Yogurt líquido con fruta 1/2 litro</c:v>
                </c:pt>
                <c:pt idx="5">
                  <c:v>Yogurt líquido con fruta litro</c:v>
                </c:pt>
                <c:pt idx="6">
                  <c:v>Yogurt líquido saborizado 1/2 litro</c:v>
                </c:pt>
                <c:pt idx="7">
                  <c:v>Yogurt líquido saborizado litro</c:v>
                </c:pt>
                <c:pt idx="8">
                  <c:v>Yogurt líquido sin sabor 1/2 litro</c:v>
                </c:pt>
                <c:pt idx="9">
                  <c:v>Yogurt líquido sin sabor litro</c:v>
                </c:pt>
              </c:strCache>
            </c:strRef>
          </c:cat>
          <c:val>
            <c:numRef>
              <c:f>'Tablas dinámicas'!$I$4:$I$14</c:f>
              <c:numCache>
                <c:formatCode>_-"$"\ * #,##0_-;\-"$"\ * #,##0_-;_-"$"\ * "-"??_-;_-@_-</c:formatCode>
                <c:ptCount val="10"/>
                <c:pt idx="0">
                  <c:v>36000.600000000006</c:v>
                </c:pt>
                <c:pt idx="1">
                  <c:v>22000.48</c:v>
                </c:pt>
                <c:pt idx="2">
                  <c:v>160002.79999999999</c:v>
                </c:pt>
                <c:pt idx="3">
                  <c:v>480014.00000000006</c:v>
                </c:pt>
                <c:pt idx="4">
                  <c:v>24402</c:v>
                </c:pt>
                <c:pt idx="5">
                  <c:v>225002.25</c:v>
                </c:pt>
                <c:pt idx="6">
                  <c:v>54000.9</c:v>
                </c:pt>
                <c:pt idx="7">
                  <c:v>24401.200000000001</c:v>
                </c:pt>
                <c:pt idx="8">
                  <c:v>24002</c:v>
                </c:pt>
                <c:pt idx="9">
                  <c:v>192007.20000000004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1-4058-A256-781A6EB51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71313072"/>
        <c:axId val="1671312656"/>
      </c:barChart>
      <c:catAx>
        <c:axId val="1671313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Nombre del producto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1312656"/>
        <c:crosses val="autoZero"/>
        <c:auto val="1"/>
        <c:lblAlgn val="ctr"/>
        <c:lblOffset val="100"/>
        <c:noMultiLvlLbl val="0"/>
      </c:catAx>
      <c:valAx>
        <c:axId val="167131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Ventas (COP)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131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[91290852 Taller 4.xlsm]Tablas dinámicas!TablaDinámica3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Unidades vendidas por producto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dinámicas'!$N$3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dinámicas'!$M$4:$M$14</c:f>
              <c:strCache>
                <c:ptCount val="10"/>
                <c:pt idx="0">
                  <c:v>Yogurt Griego 270 con cama de frutas g</c:v>
                </c:pt>
                <c:pt idx="1">
                  <c:v>Yogurt Griego 270 g</c:v>
                </c:pt>
                <c:pt idx="2">
                  <c:v>Yogurt Griego 500 g</c:v>
                </c:pt>
                <c:pt idx="3">
                  <c:v>Yogurt Griego con cama de frutas 500 g</c:v>
                </c:pt>
                <c:pt idx="4">
                  <c:v>Yogurt líquido con fruta 1/2 litro</c:v>
                </c:pt>
                <c:pt idx="5">
                  <c:v>Yogurt líquido con fruta litro</c:v>
                </c:pt>
                <c:pt idx="6">
                  <c:v>Yogurt líquido saborizado 1/2 litro</c:v>
                </c:pt>
                <c:pt idx="7">
                  <c:v>Yogurt líquido saborizado litro</c:v>
                </c:pt>
                <c:pt idx="8">
                  <c:v>Yogurt líquido sin sabor 1/2 litro</c:v>
                </c:pt>
                <c:pt idx="9">
                  <c:v>Yogurt líquido sin sabor litro</c:v>
                </c:pt>
              </c:strCache>
            </c:strRef>
          </c:cat>
          <c:val>
            <c:numRef>
              <c:f>'Tablas dinámicas'!$N$4:$N$14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8</c:v>
                </c:pt>
                <c:pt idx="3">
                  <c:v>20</c:v>
                </c:pt>
                <c:pt idx="4">
                  <c:v>4</c:v>
                </c:pt>
                <c:pt idx="5">
                  <c:v>15</c:v>
                </c:pt>
                <c:pt idx="6">
                  <c:v>9</c:v>
                </c:pt>
                <c:pt idx="7">
                  <c:v>2</c:v>
                </c:pt>
                <c:pt idx="8">
                  <c:v>4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1-4A19-94C2-14F195745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92925440"/>
        <c:axId val="1692914624"/>
      </c:barChart>
      <c:catAx>
        <c:axId val="1692925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Nombre del producto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2914624"/>
        <c:crosses val="autoZero"/>
        <c:auto val="1"/>
        <c:lblAlgn val="ctr"/>
        <c:lblOffset val="100"/>
        <c:noMultiLvlLbl val="0"/>
      </c:catAx>
      <c:valAx>
        <c:axId val="169291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Unidades vendidas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292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cked"/>
        <c:varyColors val="0"/>
        <c:ser>
          <c:idx val="1"/>
          <c:order val="1"/>
          <c:tx>
            <c:strRef>
              <c:f>Informe1!$N$6</c:f>
              <c:strCache>
                <c:ptCount val="1"/>
                <c:pt idx="0">
                  <c:v>venta (COP)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2.699449255681164E-2"/>
                  <c:y val="2.01339118806786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02-4C15-8AE5-B1D30ED3791B}"/>
                </c:ext>
              </c:extLst>
            </c:dLbl>
            <c:dLbl>
              <c:idx val="3"/>
              <c:layout>
                <c:manualLayout>
                  <c:x val="-5.5708482733153063E-2"/>
                  <c:y val="5.14013547349424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02-4C15-8AE5-B1D30ED3791B}"/>
                </c:ext>
              </c:extLst>
            </c:dLbl>
            <c:dLbl>
              <c:idx val="4"/>
              <c:layout>
                <c:manualLayout>
                  <c:x val="-6.5794211427051191E-2"/>
                  <c:y val="-0.1183361921882039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02-4C15-8AE5-B1D30ED3791B}"/>
                </c:ext>
              </c:extLst>
            </c:dLbl>
            <c:dLbl>
              <c:idx val="5"/>
              <c:layout>
                <c:manualLayout>
                  <c:x val="-5.3691336994373506E-2"/>
                  <c:y val="5.14013547349424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02-4C15-8AE5-B1D30ED3791B}"/>
                </c:ext>
              </c:extLst>
            </c:dLbl>
            <c:dLbl>
              <c:idx val="6"/>
              <c:layout>
                <c:manualLayout>
                  <c:x val="-4.7715661866018638E-2"/>
                  <c:y val="-0.1317365248400313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A02-4C15-8AE5-B1D30ED3791B}"/>
                </c:ext>
              </c:extLst>
            </c:dLbl>
            <c:dLbl>
              <c:idx val="7"/>
              <c:layout>
                <c:manualLayout>
                  <c:x val="-5.5708482733153063E-2"/>
                  <c:y val="6.03349098361606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A02-4C15-8AE5-B1D30ED3791B}"/>
                </c:ext>
              </c:extLst>
            </c:dLbl>
            <c:dLbl>
              <c:idx val="9"/>
              <c:layout>
                <c:manualLayout>
                  <c:x val="-5.5708482733153063E-2"/>
                  <c:y val="5.58681322855515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02-4C15-8AE5-B1D30ED3791B}"/>
                </c:ext>
              </c:extLst>
            </c:dLbl>
            <c:dLbl>
              <c:idx val="10"/>
              <c:layout>
                <c:manualLayout>
                  <c:x val="-5.5708482733153063E-2"/>
                  <c:y val="-4.24009738278490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02-4C15-8AE5-B1D30ED3791B}"/>
                </c:ext>
              </c:extLst>
            </c:dLbl>
            <c:dLbl>
              <c:idx val="11"/>
              <c:layout>
                <c:manualLayout>
                  <c:x val="-5.5708482733153063E-2"/>
                  <c:y val="3.3534244532506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02-4C15-8AE5-B1D30ED379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Informe1!$L$7:$L$18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Informe1!$N$7:$N$18</c:f>
              <c:numCache>
                <c:formatCode>_-[$$-240A]\ * #,##0_-;\-[$$-240A]\ * #,##0_-;_-[$$-240A]\ * "-"??_-;_-@_-</c:formatCode>
                <c:ptCount val="12"/>
                <c:pt idx="0">
                  <c:v>586014.30000000005</c:v>
                </c:pt>
                <c:pt idx="1">
                  <c:v>130806.28</c:v>
                </c:pt>
                <c:pt idx="2">
                  <c:v>525012.85</c:v>
                </c:pt>
                <c:pt idx="3">
                  <c:v>401017.70000000007</c:v>
                </c:pt>
                <c:pt idx="4">
                  <c:v>395007.9</c:v>
                </c:pt>
                <c:pt idx="5">
                  <c:v>467823.1</c:v>
                </c:pt>
                <c:pt idx="6">
                  <c:v>474008.69999999995</c:v>
                </c:pt>
                <c:pt idx="7">
                  <c:v>316915.36000000004</c:v>
                </c:pt>
                <c:pt idx="8">
                  <c:v>627012.10000000009</c:v>
                </c:pt>
                <c:pt idx="9">
                  <c:v>388817.3</c:v>
                </c:pt>
                <c:pt idx="10">
                  <c:v>739017.25</c:v>
                </c:pt>
                <c:pt idx="11">
                  <c:v>303013.70000000007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B5-4F1F-AE86-660B71479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303375"/>
        <c:axId val="2084303791"/>
      </c:lineChart>
      <c:lineChart>
        <c:grouping val="stacked"/>
        <c:varyColors val="0"/>
        <c:ser>
          <c:idx val="0"/>
          <c:order val="0"/>
          <c:tx>
            <c:strRef>
              <c:f>Informe1!$M$6</c:f>
              <c:strCache>
                <c:ptCount val="1"/>
                <c:pt idx="0">
                  <c:v>venta en unidades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0378214826021179E-2"/>
                  <c:y val="-8.26687975892062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A02-4C15-8AE5-B1D30ED3791B}"/>
                </c:ext>
              </c:extLst>
            </c:dLbl>
            <c:dLbl>
              <c:idx val="3"/>
              <c:layout>
                <c:manualLayout>
                  <c:x val="-2.8361069087241553E-2"/>
                  <c:y val="-3.80010220831151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02-4C15-8AE5-B1D30ED3791B}"/>
                </c:ext>
              </c:extLst>
            </c:dLbl>
            <c:dLbl>
              <c:idx val="5"/>
              <c:layout>
                <c:manualLayout>
                  <c:x val="-2.6343923348461928E-2"/>
                  <c:y val="-3.3534244532506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02-4C15-8AE5-B1D30ED3791B}"/>
                </c:ext>
              </c:extLst>
            </c:dLbl>
            <c:dLbl>
              <c:idx val="7"/>
              <c:layout>
                <c:manualLayout>
                  <c:x val="-2.4326777609682299E-2"/>
                  <c:y val="-4.69345771843334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02-4C15-8AE5-B1D30ED3791B}"/>
                </c:ext>
              </c:extLst>
            </c:dLbl>
            <c:dLbl>
              <c:idx val="11"/>
              <c:layout>
                <c:manualLayout>
                  <c:x val="-2.6343923348461928E-2"/>
                  <c:y val="-6.48016873867698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02-4C15-8AE5-B1D30ED379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Informe1!$L$7:$L$18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Informe1!$M$7:$M$18</c:f>
              <c:numCache>
                <c:formatCode>General</c:formatCode>
                <c:ptCount val="12"/>
                <c:pt idx="0">
                  <c:v>37</c:v>
                </c:pt>
                <c:pt idx="1">
                  <c:v>15</c:v>
                </c:pt>
                <c:pt idx="2">
                  <c:v>31</c:v>
                </c:pt>
                <c:pt idx="3">
                  <c:v>39</c:v>
                </c:pt>
                <c:pt idx="4">
                  <c:v>27</c:v>
                </c:pt>
                <c:pt idx="5">
                  <c:v>51</c:v>
                </c:pt>
                <c:pt idx="6">
                  <c:v>37</c:v>
                </c:pt>
                <c:pt idx="7">
                  <c:v>37</c:v>
                </c:pt>
                <c:pt idx="8">
                  <c:v>36</c:v>
                </c:pt>
                <c:pt idx="9">
                  <c:v>45</c:v>
                </c:pt>
                <c:pt idx="10">
                  <c:v>45</c:v>
                </c:pt>
                <c:pt idx="11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5-4F1F-AE86-660B71479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075519"/>
        <c:axId val="211075103"/>
      </c:lineChart>
      <c:catAx>
        <c:axId val="20843033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4303791"/>
        <c:crosses val="autoZero"/>
        <c:auto val="1"/>
        <c:lblAlgn val="ctr"/>
        <c:lblOffset val="100"/>
        <c:noMultiLvlLbl val="0"/>
      </c:catAx>
      <c:valAx>
        <c:axId val="20843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Ventas (COP)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-[$$-240A]\ * #,##0_-;\-[$$-240A]\ * #,##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4303375"/>
        <c:crosses val="autoZero"/>
        <c:crossBetween val="between"/>
      </c:valAx>
      <c:valAx>
        <c:axId val="2110751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Unidades vendidas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1075519"/>
        <c:crosses val="max"/>
        <c:crossBetween val="between"/>
      </c:valAx>
      <c:catAx>
        <c:axId val="211075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0751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Informe1!$O$29</c:f>
              <c:strCache>
                <c:ptCount val="1"/>
                <c:pt idx="0">
                  <c:v>Ventas (COP)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Informe1!$M$30:$M$39</c:f>
              <c:strCache>
                <c:ptCount val="10"/>
                <c:pt idx="0">
                  <c:v>Sandra Perea</c:v>
                </c:pt>
                <c:pt idx="1">
                  <c:v>Pedro Bedoya</c:v>
                </c:pt>
                <c:pt idx="2">
                  <c:v>Juan Tamaríz</c:v>
                </c:pt>
                <c:pt idx="3">
                  <c:v>Raúl Velazco</c:v>
                </c:pt>
                <c:pt idx="4">
                  <c:v>Antonio Pérez</c:v>
                </c:pt>
                <c:pt idx="5">
                  <c:v>Carlos Ramírez</c:v>
                </c:pt>
                <c:pt idx="6">
                  <c:v>María López</c:v>
                </c:pt>
                <c:pt idx="7">
                  <c:v>Claudia Gómez</c:v>
                </c:pt>
                <c:pt idx="8">
                  <c:v>Stella Trois</c:v>
                </c:pt>
                <c:pt idx="9">
                  <c:v>Carlos González</c:v>
                </c:pt>
              </c:strCache>
            </c:strRef>
          </c:cat>
          <c:val>
            <c:numRef>
              <c:f>Informe1!$O$30:$O$39</c:f>
              <c:numCache>
                <c:formatCode>_-[$$-240A]\ * #,##0_-;\-[$$-240A]\ * #,##0_-;_-[$$-240A]\ * "-"??_-;_-@_-</c:formatCode>
                <c:ptCount val="10"/>
                <c:pt idx="0">
                  <c:v>444016.65</c:v>
                </c:pt>
                <c:pt idx="1">
                  <c:v>536826.4</c:v>
                </c:pt>
                <c:pt idx="2">
                  <c:v>750007.5</c:v>
                </c:pt>
                <c:pt idx="3">
                  <c:v>270022.5</c:v>
                </c:pt>
                <c:pt idx="4">
                  <c:v>228003.8</c:v>
                </c:pt>
                <c:pt idx="5">
                  <c:v>335527.5</c:v>
                </c:pt>
                <c:pt idx="6">
                  <c:v>940016.45</c:v>
                </c:pt>
                <c:pt idx="7">
                  <c:v>506011.03999999992</c:v>
                </c:pt>
                <c:pt idx="8">
                  <c:v>984028.70000000019</c:v>
                </c:pt>
                <c:pt idx="9">
                  <c:v>360006.00000000006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A-4BD8-8DF0-EA49DEE0FBF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8304415"/>
        <c:axId val="1888304831"/>
      </c:barChart>
      <c:catAx>
        <c:axId val="188830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Vendedor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88304831"/>
        <c:crosses val="autoZero"/>
        <c:auto val="1"/>
        <c:lblAlgn val="ctr"/>
        <c:lblOffset val="100"/>
        <c:noMultiLvlLbl val="0"/>
      </c:catAx>
      <c:valAx>
        <c:axId val="188830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Total de Ventas  (COP)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-[$$-240A]\ * #,##0_-;\-[$$-240A]\ * #,##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88304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Ventas</a:t>
            </a:r>
            <a:r>
              <a:rPr lang="es-CO" b="1" baseline="0"/>
              <a:t> por producto</a:t>
            </a:r>
            <a:endParaRPr lang="es-CO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cked"/>
        <c:varyColors val="0"/>
        <c:ser>
          <c:idx val="1"/>
          <c:order val="1"/>
          <c:tx>
            <c:strRef>
              <c:f>Informe1!$O$66</c:f>
              <c:strCache>
                <c:ptCount val="1"/>
                <c:pt idx="0">
                  <c:v>Ventas (COP)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6.8149662350964951E-2"/>
                  <c:y val="-2.0324804639286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C4-4F6B-AB63-121B2332F4C2}"/>
                </c:ext>
              </c:extLst>
            </c:dLbl>
            <c:dLbl>
              <c:idx val="3"/>
              <c:layout>
                <c:manualLayout>
                  <c:x val="-8.604675227206475E-2"/>
                  <c:y val="2.29915759019377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C4-4F6B-AB63-121B2332F4C2}"/>
                </c:ext>
              </c:extLst>
            </c:dLbl>
            <c:dLbl>
              <c:idx val="5"/>
              <c:layout>
                <c:manualLayout>
                  <c:x val="-3.2355482508765347E-2"/>
                  <c:y val="2.29915759019379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C4-4F6B-AB63-121B2332F4C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60C4-4F6B-AB63-121B2332F4C2}"/>
                </c:ext>
              </c:extLst>
            </c:dLbl>
            <c:dLbl>
              <c:idx val="8"/>
              <c:layout>
                <c:manualLayout>
                  <c:x val="-5.5366026693036613E-2"/>
                  <c:y val="-3.92757211260724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0C4-4F6B-AB63-121B2332F4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Informe1!$M$67:$M$76</c:f>
              <c:strCache>
                <c:ptCount val="10"/>
                <c:pt idx="0">
                  <c:v>Yogurt líquido sin sabor litro</c:v>
                </c:pt>
                <c:pt idx="1">
                  <c:v>Yogurt líquido saborizado litro</c:v>
                </c:pt>
                <c:pt idx="2">
                  <c:v>Yogurt líquido con fruta litro</c:v>
                </c:pt>
                <c:pt idx="3">
                  <c:v>Yogurt líquido sin sabor 1/2 litro</c:v>
                </c:pt>
                <c:pt idx="4">
                  <c:v>Yogurt líquido saborizado 1/2 litro</c:v>
                </c:pt>
                <c:pt idx="5">
                  <c:v>Yogurt líquido con fruta 1/2 litro</c:v>
                </c:pt>
                <c:pt idx="6">
                  <c:v>Yogurt Griego 500 g</c:v>
                </c:pt>
                <c:pt idx="7">
                  <c:v>Yogurt Griego 270 g</c:v>
                </c:pt>
                <c:pt idx="8">
                  <c:v>Yogurt Griego con cama de frutas 500 g</c:v>
                </c:pt>
                <c:pt idx="9">
                  <c:v>Yogurt Griego 270 con cama de frutas g</c:v>
                </c:pt>
              </c:strCache>
            </c:strRef>
          </c:cat>
          <c:val>
            <c:numRef>
              <c:f>Informe1!$O$67:$O$76</c:f>
              <c:numCache>
                <c:formatCode>_-[$$-240A]\ * #,##0_-;\-[$$-240A]\ * #,##0_-;_-[$$-240A]\ * "-"??_-;_-@_-</c:formatCode>
                <c:ptCount val="10"/>
                <c:pt idx="0">
                  <c:v>444016.65</c:v>
                </c:pt>
                <c:pt idx="1">
                  <c:v>536826.4</c:v>
                </c:pt>
                <c:pt idx="2">
                  <c:v>750007.5</c:v>
                </c:pt>
                <c:pt idx="3">
                  <c:v>270022.5</c:v>
                </c:pt>
                <c:pt idx="4">
                  <c:v>228003.8</c:v>
                </c:pt>
                <c:pt idx="5">
                  <c:v>335527.5</c:v>
                </c:pt>
                <c:pt idx="6">
                  <c:v>940016.45</c:v>
                </c:pt>
                <c:pt idx="7">
                  <c:v>506011.03999999992</c:v>
                </c:pt>
                <c:pt idx="8">
                  <c:v>984028.70000000019</c:v>
                </c:pt>
                <c:pt idx="9">
                  <c:v>360006.00000000006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4-4F6B-AB63-121B2332F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636783"/>
        <c:axId val="259639279"/>
      </c:lineChart>
      <c:lineChart>
        <c:grouping val="stacked"/>
        <c:varyColors val="0"/>
        <c:ser>
          <c:idx val="0"/>
          <c:order val="0"/>
          <c:tx>
            <c:strRef>
              <c:f>Informe1!$N$66</c:f>
              <c:strCache>
                <c:ptCount val="1"/>
                <c:pt idx="0">
                  <c:v>Unidades vendidas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3.3390856338509065E-2"/>
                  <c:y val="-1.75770283342847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C4-4F6B-AB63-121B2332F4C2}"/>
                </c:ext>
              </c:extLst>
            </c:dLbl>
            <c:dLbl>
              <c:idx val="8"/>
              <c:layout>
                <c:manualLayout>
                  <c:x val="-3.3390856338509252E-2"/>
                  <c:y val="3.65684473422458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C4-4F6B-AB63-121B2332F4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Informe1!$M$67:$M$76</c:f>
              <c:strCache>
                <c:ptCount val="10"/>
                <c:pt idx="0">
                  <c:v>Yogurt líquido sin sabor litro</c:v>
                </c:pt>
                <c:pt idx="1">
                  <c:v>Yogurt líquido saborizado litro</c:v>
                </c:pt>
                <c:pt idx="2">
                  <c:v>Yogurt líquido con fruta litro</c:v>
                </c:pt>
                <c:pt idx="3">
                  <c:v>Yogurt líquido sin sabor 1/2 litro</c:v>
                </c:pt>
                <c:pt idx="4">
                  <c:v>Yogurt líquido saborizado 1/2 litro</c:v>
                </c:pt>
                <c:pt idx="5">
                  <c:v>Yogurt líquido con fruta 1/2 litro</c:v>
                </c:pt>
                <c:pt idx="6">
                  <c:v>Yogurt Griego 500 g</c:v>
                </c:pt>
                <c:pt idx="7">
                  <c:v>Yogurt Griego 270 g</c:v>
                </c:pt>
                <c:pt idx="8">
                  <c:v>Yogurt Griego con cama de frutas 500 g</c:v>
                </c:pt>
                <c:pt idx="9">
                  <c:v>Yogurt Griego 270 con cama de frutas g</c:v>
                </c:pt>
              </c:strCache>
            </c:strRef>
          </c:cat>
          <c:val>
            <c:numRef>
              <c:f>Informe1!$N$67:$N$76</c:f>
              <c:numCache>
                <c:formatCode>General</c:formatCode>
                <c:ptCount val="10"/>
                <c:pt idx="0">
                  <c:v>37</c:v>
                </c:pt>
                <c:pt idx="1">
                  <c:v>44</c:v>
                </c:pt>
                <c:pt idx="2">
                  <c:v>50</c:v>
                </c:pt>
                <c:pt idx="3">
                  <c:v>45</c:v>
                </c:pt>
                <c:pt idx="4">
                  <c:v>38</c:v>
                </c:pt>
                <c:pt idx="5">
                  <c:v>55</c:v>
                </c:pt>
                <c:pt idx="6">
                  <c:v>47</c:v>
                </c:pt>
                <c:pt idx="7">
                  <c:v>46</c:v>
                </c:pt>
                <c:pt idx="8">
                  <c:v>41</c:v>
                </c:pt>
                <c:pt idx="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4-4F6B-AB63-121B2332F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79615"/>
        <c:axId val="408582111"/>
      </c:lineChart>
      <c:catAx>
        <c:axId val="259636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Producto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639279"/>
        <c:crosses val="autoZero"/>
        <c:auto val="1"/>
        <c:lblAlgn val="ctr"/>
        <c:lblOffset val="100"/>
        <c:noMultiLvlLbl val="0"/>
      </c:catAx>
      <c:valAx>
        <c:axId val="25963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Ventas (COP)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-[$$-240A]\ * #,##0_-;\-[$$-240A]\ * #,##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636783"/>
        <c:crosses val="autoZero"/>
        <c:crossBetween val="between"/>
      </c:valAx>
      <c:valAx>
        <c:axId val="40858211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b="1"/>
                  <a:t>Unidades vendidas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08579615"/>
        <c:crosses val="max"/>
        <c:crossBetween val="between"/>
      </c:valAx>
      <c:catAx>
        <c:axId val="408579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858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16</xdr:row>
          <xdr:rowOff>9525</xdr:rowOff>
        </xdr:from>
        <xdr:to>
          <xdr:col>7</xdr:col>
          <xdr:colOff>590550</xdr:colOff>
          <xdr:row>18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18</xdr:row>
          <xdr:rowOff>180975</xdr:rowOff>
        </xdr:from>
        <xdr:to>
          <xdr:col>7</xdr:col>
          <xdr:colOff>590550</xdr:colOff>
          <xdr:row>21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21</xdr:row>
          <xdr:rowOff>142875</xdr:rowOff>
        </xdr:from>
        <xdr:to>
          <xdr:col>7</xdr:col>
          <xdr:colOff>590550</xdr:colOff>
          <xdr:row>23</xdr:row>
          <xdr:rowOff>190500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Factura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14</xdr:row>
      <xdr:rowOff>80962</xdr:rowOff>
    </xdr:from>
    <xdr:to>
      <xdr:col>4</xdr:col>
      <xdr:colOff>552450</xdr:colOff>
      <xdr:row>28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</xdr:colOff>
      <xdr:row>14</xdr:row>
      <xdr:rowOff>52387</xdr:rowOff>
    </xdr:from>
    <xdr:to>
      <xdr:col>9</xdr:col>
      <xdr:colOff>1143000</xdr:colOff>
      <xdr:row>30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1114425</xdr:colOff>
      <xdr:row>14</xdr:row>
      <xdr:rowOff>61912</xdr:rowOff>
    </xdr:from>
    <xdr:to>
      <xdr:col>15</xdr:col>
      <xdr:colOff>304800</xdr:colOff>
      <xdr:row>28</xdr:row>
      <xdr:rowOff>138112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514350</xdr:colOff>
      <xdr:row>4</xdr:row>
      <xdr:rowOff>23811</xdr:rowOff>
    </xdr:from>
    <xdr:to>
      <xdr:col>22</xdr:col>
      <xdr:colOff>314325</xdr:colOff>
      <xdr:row>19</xdr:row>
      <xdr:rowOff>9524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152399</xdr:colOff>
      <xdr:row>24</xdr:row>
      <xdr:rowOff>123825</xdr:rowOff>
    </xdr:from>
    <xdr:to>
      <xdr:col>22</xdr:col>
      <xdr:colOff>514350</xdr:colOff>
      <xdr:row>42</xdr:row>
      <xdr:rowOff>42862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71437</xdr:colOff>
      <xdr:row>56</xdr:row>
      <xdr:rowOff>23809</xdr:rowOff>
    </xdr:from>
    <xdr:to>
      <xdr:col>22</xdr:col>
      <xdr:colOff>466725</xdr:colOff>
      <xdr:row>80</xdr:row>
      <xdr:rowOff>142875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y Alberto Suarez Badillo (Applus)" refreshedDate="44688.594891435183" backgroundQuery="1" createdVersion="7" refreshedVersion="7" minRefreshableVersion="3" recordCount="0" supportSubquery="1" supportAdvancedDrill="1" xr:uid="{D7668B3E-2B36-42D8-A60E-327DEE1736F0}">
  <cacheSource type="external" connectionId="1"/>
  <cacheFields count="3">
    <cacheField name="[Productos5].[mes].[mes]" caption="mes" numFmtId="0" hierarchy="5" level="1">
      <sharedItems containsSemiMixedTypes="0" containsNonDate="0" containsString="0"/>
    </cacheField>
    <cacheField name="[Productos5].[Nombre Vendedor].[Nombre Vendedor]" caption="Nombre Vendedor" numFmtId="0" hierarchy="7" level="1">
      <sharedItems count="10">
        <s v="Antonio Pérez"/>
        <s v="Carlos González"/>
        <s v="Carlos Ramírez"/>
        <s v="Claudia Gómez"/>
        <s v="Juan Tamaríz"/>
        <s v="María López"/>
        <s v="Pedro Bedoya"/>
        <s v="Raúl Velazco"/>
        <s v="Sandra Perea"/>
        <s v="Stella Trois"/>
      </sharedItems>
    </cacheField>
    <cacheField name="[Measures].[Suma de Total]" caption="Suma de Total" numFmtId="0" hierarchy="10" level="32767"/>
  </cacheFields>
  <cacheHierarchies count="12">
    <cacheHierarchy uniqueName="[Productos5].[CódigoV]" caption="CódigoV" attribute="1" defaultMemberUniqueName="[Productos5].[CódigoV].[All]" allUniqueName="[Productos5].[CódigoV].[All]" dimensionUniqueName="[Productos5]" displayFolder="" count="0" memberValueDatatype="130" unbalanced="0"/>
    <cacheHierarchy uniqueName="[Productos5].[Nombre]" caption="Nombre" attribute="1" defaultMemberUniqueName="[Productos5].[Nombre].[All]" allUniqueName="[Productos5].[Nombre].[All]" dimensionUniqueName="[Productos5]" displayFolder="" count="0" memberValueDatatype="130" unbalanced="0"/>
    <cacheHierarchy uniqueName="[Productos5].[Valor unitario]" caption="Valor unitario" attribute="1" defaultMemberUniqueName="[Productos5].[Valor unitario].[All]" allUniqueName="[Productos5].[Valor unitario].[All]" dimensionUniqueName="[Productos5]" displayFolder="" count="0" memberValueDatatype="5" unbalanced="0"/>
    <cacheHierarchy uniqueName="[Productos5].[Cantidad]" caption="Cantidad" attribute="1" defaultMemberUniqueName="[Productos5].[Cantidad].[All]" allUniqueName="[Productos5].[Cantidad].[All]" dimensionUniqueName="[Productos5]" displayFolder="" count="0" memberValueDatatype="20" unbalanced="0"/>
    <cacheHierarchy uniqueName="[Productos5].[Total]" caption="Total" attribute="1" defaultMemberUniqueName="[Productos5].[Total].[All]" allUniqueName="[Productos5].[Total].[All]" dimensionUniqueName="[Productos5]" displayFolder="" count="0" memberValueDatatype="5" unbalanced="0"/>
    <cacheHierarchy uniqueName="[Productos5].[mes]" caption="mes" attribute="1" defaultMemberUniqueName="[Productos5].[mes].[All]" allUniqueName="[Productos5].[mes].[All]" dimensionUniqueName="[Productos5]" displayFolder="" count="2" memberValueDatatype="130" unbalanced="0">
      <fieldsUsage count="2">
        <fieldUsage x="-1"/>
        <fieldUsage x="0"/>
      </fieldsUsage>
    </cacheHierarchy>
    <cacheHierarchy uniqueName="[Productos5].[CC.VendedorV]" caption="CC.VendedorV" attribute="1" defaultMemberUniqueName="[Productos5].[CC.VendedorV].[All]" allUniqueName="[Productos5].[CC.VendedorV].[All]" dimensionUniqueName="[Productos5]" displayFolder="" count="0" memberValueDatatype="20" unbalanced="0"/>
    <cacheHierarchy uniqueName="[Productos5].[Nombre Vendedor]" caption="Nombre Vendedor" attribute="1" defaultMemberUniqueName="[Productos5].[Nombre Vendedor].[All]" allUniqueName="[Productos5].[Nombre Vendedor].[All]" dimensionUniqueName="[Productos5]" displayFolder="" count="2" memberValueDatatype="130" unbalanced="0">
      <fieldsUsage count="2">
        <fieldUsage x="-1"/>
        <fieldUsage x="1"/>
      </fieldsUsage>
    </cacheHierarchy>
    <cacheHierarchy uniqueName="[Measures].[__XL_Count Productos5]" caption="__XL_Count Productos5" measure="1" displayFolder="" measureGroup="Productos5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Productos5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Cantidad]" caption="Suma de Cantidad" measure="1" displayFolder="" measureGroup="Productos5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Productos5" uniqueName="[Productos5]" caption="Productos5"/>
  </dimensions>
  <measureGroups count="1">
    <measureGroup name="Productos5" caption="Productos5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enry Alberto Suarez Badillo (Applus)" refreshedDate="44688.619645370367" backgroundQuery="1" createdVersion="7" refreshedVersion="7" minRefreshableVersion="3" recordCount="0" supportSubquery="1" supportAdvancedDrill="1" xr:uid="{77F52949-4452-4C2A-B77A-5570E31B0327}">
  <cacheSource type="external" connectionId="1"/>
  <cacheFields count="3">
    <cacheField name="[Productos5].[Nombre].[Nombre]" caption="Nombre" numFmtId="0" hierarchy="1" level="1">
      <sharedItems count="10">
        <s v="Yogurt Griego 270 con cama de frutas g"/>
        <s v="Yogurt Griego 270 g"/>
        <s v="Yogurt Griego 500 g"/>
        <s v="Yogurt Griego con cama de frutas 500 g"/>
        <s v="Yogurt líquido con fruta 1/2 litro"/>
        <s v="Yogurt líquido con fruta litro"/>
        <s v="Yogurt líquido saborizado 1/2 litro"/>
        <s v="Yogurt líquido saborizado litro"/>
        <s v="Yogurt líquido sin sabor 1/2 litro"/>
        <s v="Yogurt líquido sin sabor litro"/>
      </sharedItems>
    </cacheField>
    <cacheField name="[Measures].[Suma de Total]" caption="Suma de Total" numFmtId="0" hierarchy="10" level="32767"/>
    <cacheField name="[Productos5].[mes].[mes]" caption="mes" numFmtId="0" hierarchy="5" level="1">
      <sharedItems containsSemiMixedTypes="0" containsNonDate="0" containsString="0"/>
    </cacheField>
  </cacheFields>
  <cacheHierarchies count="12">
    <cacheHierarchy uniqueName="[Productos5].[CódigoV]" caption="CódigoV" attribute="1" defaultMemberUniqueName="[Productos5].[CódigoV].[All]" allUniqueName="[Productos5].[CódigoV].[All]" dimensionUniqueName="[Productos5]" displayFolder="" count="0" memberValueDatatype="130" unbalanced="0"/>
    <cacheHierarchy uniqueName="[Productos5].[Nombre]" caption="Nombre" attribute="1" defaultMemberUniqueName="[Productos5].[Nombre].[All]" allUniqueName="[Productos5].[Nombre].[All]" dimensionUniqueName="[Productos5]" displayFolder="" count="2" memberValueDatatype="130" unbalanced="0">
      <fieldsUsage count="2">
        <fieldUsage x="-1"/>
        <fieldUsage x="0"/>
      </fieldsUsage>
    </cacheHierarchy>
    <cacheHierarchy uniqueName="[Productos5].[Valor unitario]" caption="Valor unitario" attribute="1" defaultMemberUniqueName="[Productos5].[Valor unitario].[All]" allUniqueName="[Productos5].[Valor unitario].[All]" dimensionUniqueName="[Productos5]" displayFolder="" count="2" memberValueDatatype="5" unbalanced="0"/>
    <cacheHierarchy uniqueName="[Productos5].[Cantidad]" caption="Cantidad" attribute="1" defaultMemberUniqueName="[Productos5].[Cantidad].[All]" allUniqueName="[Productos5].[Cantidad].[All]" dimensionUniqueName="[Productos5]" displayFolder="" count="0" memberValueDatatype="20" unbalanced="0"/>
    <cacheHierarchy uniqueName="[Productos5].[Total]" caption="Total" attribute="1" defaultMemberUniqueName="[Productos5].[Total].[All]" allUniqueName="[Productos5].[Total].[All]" dimensionUniqueName="[Productos5]" displayFolder="" count="0" memberValueDatatype="5" unbalanced="0"/>
    <cacheHierarchy uniqueName="[Productos5].[mes]" caption="mes" attribute="1" defaultMemberUniqueName="[Productos5].[mes].[All]" allUniqueName="[Productos5].[mes].[All]" dimensionUniqueName="[Productos5]" displayFolder="" count="2" memberValueDatatype="130" unbalanced="0">
      <fieldsUsage count="2">
        <fieldUsage x="-1"/>
        <fieldUsage x="2"/>
      </fieldsUsage>
    </cacheHierarchy>
    <cacheHierarchy uniqueName="[Productos5].[CC.VendedorV]" caption="CC.VendedorV" attribute="1" defaultMemberUniqueName="[Productos5].[CC.VendedorV].[All]" allUniqueName="[Productos5].[CC.VendedorV].[All]" dimensionUniqueName="[Productos5]" displayFolder="" count="0" memberValueDatatype="20" unbalanced="0"/>
    <cacheHierarchy uniqueName="[Productos5].[Nombre Vendedor]" caption="Nombre Vendedor" attribute="1" defaultMemberUniqueName="[Productos5].[Nombre Vendedor].[All]" allUniqueName="[Productos5].[Nombre Vendedor].[All]" dimensionUniqueName="[Productos5]" displayFolder="" count="0" memberValueDatatype="130" unbalanced="0"/>
    <cacheHierarchy uniqueName="[Measures].[__XL_Count Productos5]" caption="__XL_Count Productos5" measure="1" displayFolder="" measureGroup="Productos5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Productos5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Cantidad]" caption="Suma de Cantidad" measure="1" displayFolder="" measureGroup="Productos5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Productos5" uniqueName="[Productos5]" caption="Productos5"/>
  </dimensions>
  <measureGroups count="1">
    <measureGroup name="Productos5" caption="Productos5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nry Alberto Suarez Badillo (Applus)" refreshedDate="44688.622376388892" createdVersion="7" refreshedVersion="7" minRefreshableVersion="3" recordCount="80" xr:uid="{2D3EE524-25D2-43FF-ADC5-2F60529F95C6}">
  <cacheSource type="worksheet">
    <worksheetSource name="Productos5"/>
  </cacheSource>
  <cacheFields count="8">
    <cacheField name="CódigoV" numFmtId="0">
      <sharedItems/>
    </cacheField>
    <cacheField name="Nombre" numFmtId="0">
      <sharedItems count="10">
        <s v="Yogurt líquido sin sabor litro"/>
        <s v="Yogurt líquido saborizado litro"/>
        <s v="Yogurt líquido con fruta litro"/>
        <s v="Yogurt líquido sin sabor 1/2 litro"/>
        <s v="Yogurt líquido saborizado 1/2 litro"/>
        <s v="Yogurt líquido con fruta 1/2 litro"/>
        <s v="Yogurt Griego 500 g"/>
        <s v="Yogurt Griego 270 g"/>
        <s v="Yogurt Griego con cama de frutas 500 g"/>
        <s v="Yogurt Griego 270 con cama de frutas g"/>
      </sharedItems>
    </cacheField>
    <cacheField name="Valor unitario" numFmtId="164">
      <sharedItems containsSemiMixedTypes="0" containsString="0" containsNumber="1" minValue="6000.1" maxValue="24000.7"/>
    </cacheField>
    <cacheField name="Cantidad" numFmtId="0">
      <sharedItems containsSemiMixedTypes="0" containsString="0" containsNumber="1" containsInteger="1" minValue="1" maxValue="10"/>
    </cacheField>
    <cacheField name="Total" numFmtId="165">
      <sharedItems containsSemiMixedTypes="0" containsString="0" containsNumber="1" minValue="6000.1" maxValue="216006.30000000002"/>
    </cacheField>
    <cacheField name="mes" numFmtId="0">
      <sharedItems count="12">
        <s v="Mayo"/>
        <s v="Junio"/>
        <s v="Julio"/>
        <s v="Agosto"/>
        <s v="Septiembre"/>
        <s v="Octubre"/>
        <s v="Noviembre"/>
        <s v="Diciembre"/>
        <s v="Enero"/>
        <s v="Febrero"/>
        <s v="Marzo"/>
        <s v="Abril"/>
      </sharedItems>
    </cacheField>
    <cacheField name="CC.VendedorV" numFmtId="0">
      <sharedItems containsSemiMixedTypes="0" containsString="0" containsNumber="1" containsInteger="1" minValue="10927261" maxValue="10997554"/>
    </cacheField>
    <cacheField name="Nombre Vended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s v="T001"/>
    <x v="0"/>
    <n v="12000.45"/>
    <n v="2"/>
    <n v="24000.9"/>
    <x v="0"/>
    <n v="10997554"/>
    <s v="Sandra Perea"/>
  </r>
  <r>
    <s v="T002"/>
    <x v="1"/>
    <n v="12200.6"/>
    <n v="4"/>
    <n v="48802.400000000001"/>
    <x v="1"/>
    <n v="10927346"/>
    <s v="Pedro Bedoya"/>
  </r>
  <r>
    <s v="T003"/>
    <x v="2"/>
    <n v="15000.15"/>
    <n v="7"/>
    <n v="105001.05"/>
    <x v="2"/>
    <n v="10973306"/>
    <s v="Juan Tamaríz"/>
  </r>
  <r>
    <s v="T004"/>
    <x v="3"/>
    <n v="6000.5"/>
    <n v="4"/>
    <n v="24002"/>
    <x v="3"/>
    <n v="10927261"/>
    <s v="Raúl Velazco"/>
  </r>
  <r>
    <s v="T005"/>
    <x v="4"/>
    <n v="6000.1"/>
    <n v="1"/>
    <n v="6000.1"/>
    <x v="4"/>
    <n v="10986797"/>
    <s v="Antonio Pérez"/>
  </r>
  <r>
    <s v="T006"/>
    <x v="5"/>
    <n v="6100.5"/>
    <n v="4"/>
    <n v="24402"/>
    <x v="5"/>
    <n v="10963232"/>
    <s v="Carlos Ramírez"/>
  </r>
  <r>
    <s v="T007"/>
    <x v="6"/>
    <n v="20000.349999999999"/>
    <n v="9"/>
    <n v="180003.15"/>
    <x v="6"/>
    <n v="10951775"/>
    <s v="María López"/>
  </r>
  <r>
    <s v="T008"/>
    <x v="7"/>
    <n v="11000.24"/>
    <n v="3"/>
    <n v="33000.720000000001"/>
    <x v="7"/>
    <n v="10950576"/>
    <s v="Claudia Gómez"/>
  </r>
  <r>
    <s v="T009"/>
    <x v="8"/>
    <n v="24000.7"/>
    <n v="5"/>
    <n v="120003.5"/>
    <x v="8"/>
    <n v="10980436"/>
    <s v="Stella Trois"/>
  </r>
  <r>
    <s v="T010"/>
    <x v="9"/>
    <n v="12000.2"/>
    <n v="2"/>
    <n v="24000.400000000001"/>
    <x v="9"/>
    <n v="10985229"/>
    <s v="Carlos González"/>
  </r>
  <r>
    <s v="T001"/>
    <x v="0"/>
    <n v="12000.45"/>
    <n v="6"/>
    <n v="72002.700000000012"/>
    <x v="10"/>
    <n v="10997554"/>
    <s v="Sandra Perea"/>
  </r>
  <r>
    <s v="T002"/>
    <x v="1"/>
    <n v="12200.6"/>
    <n v="7"/>
    <n v="85404.2"/>
    <x v="11"/>
    <n v="10927346"/>
    <s v="Pedro Bedoya"/>
  </r>
  <r>
    <s v="T003"/>
    <x v="2"/>
    <n v="15000.15"/>
    <n v="1"/>
    <n v="15000.15"/>
    <x v="0"/>
    <n v="10973306"/>
    <s v="Juan Tamaríz"/>
  </r>
  <r>
    <s v="T004"/>
    <x v="3"/>
    <n v="6000.5"/>
    <n v="6"/>
    <n v="36003"/>
    <x v="1"/>
    <n v="10927261"/>
    <s v="Raúl Velazco"/>
  </r>
  <r>
    <s v="T005"/>
    <x v="4"/>
    <n v="6000.1"/>
    <n v="5"/>
    <n v="30000.5"/>
    <x v="2"/>
    <n v="10986797"/>
    <s v="Antonio Pérez"/>
  </r>
  <r>
    <s v="T006"/>
    <x v="5"/>
    <n v="6100.5"/>
    <n v="8"/>
    <n v="48804"/>
    <x v="3"/>
    <n v="10963232"/>
    <s v="Carlos Ramírez"/>
  </r>
  <r>
    <s v="T007"/>
    <x v="6"/>
    <n v="20000.349999999999"/>
    <n v="10"/>
    <n v="200003.5"/>
    <x v="4"/>
    <n v="10951775"/>
    <s v="María López"/>
  </r>
  <r>
    <s v="T008"/>
    <x v="7"/>
    <n v="11000.24"/>
    <n v="7"/>
    <n v="77001.679999999993"/>
    <x v="5"/>
    <n v="10950576"/>
    <s v="Claudia Gómez"/>
  </r>
  <r>
    <s v="T009"/>
    <x v="8"/>
    <n v="24000.7"/>
    <n v="6"/>
    <n v="144004.20000000001"/>
    <x v="6"/>
    <n v="10980436"/>
    <s v="Stella Trois"/>
  </r>
  <r>
    <s v="T010"/>
    <x v="9"/>
    <n v="12000.2"/>
    <n v="1"/>
    <n v="12000.2"/>
    <x v="7"/>
    <n v="10985229"/>
    <s v="Carlos González"/>
  </r>
  <r>
    <s v="T001"/>
    <x v="0"/>
    <n v="12000.45"/>
    <n v="7"/>
    <n v="84003.150000000009"/>
    <x v="8"/>
    <n v="10997554"/>
    <s v="Sandra Perea"/>
  </r>
  <r>
    <s v="T002"/>
    <x v="1"/>
    <n v="12200.6"/>
    <n v="2"/>
    <n v="24401.200000000001"/>
    <x v="9"/>
    <n v="10927346"/>
    <s v="Pedro Bedoya"/>
  </r>
  <r>
    <s v="T003"/>
    <x v="2"/>
    <n v="15000.15"/>
    <n v="9"/>
    <n v="135001.35"/>
    <x v="10"/>
    <n v="10973306"/>
    <s v="Juan Tamaríz"/>
  </r>
  <r>
    <s v="T004"/>
    <x v="3"/>
    <n v="6000.5"/>
    <n v="3"/>
    <n v="18001.5"/>
    <x v="11"/>
    <n v="10927261"/>
    <s v="Raúl Velazco"/>
  </r>
  <r>
    <s v="T005"/>
    <x v="4"/>
    <n v="6000.1"/>
    <n v="3"/>
    <n v="18000.300000000003"/>
    <x v="0"/>
    <n v="10986797"/>
    <s v="Antonio Pérez"/>
  </r>
  <r>
    <s v="T006"/>
    <x v="5"/>
    <n v="6100.5"/>
    <n v="10"/>
    <n v="61005"/>
    <x v="1"/>
    <n v="10963232"/>
    <s v="Carlos Ramírez"/>
  </r>
  <r>
    <s v="T007"/>
    <x v="6"/>
    <n v="20000.349999999999"/>
    <n v="3"/>
    <n v="60001.049999999996"/>
    <x v="2"/>
    <n v="10951775"/>
    <s v="María López"/>
  </r>
  <r>
    <s v="T008"/>
    <x v="7"/>
    <n v="11000.24"/>
    <n v="9"/>
    <n v="99002.16"/>
    <x v="3"/>
    <n v="10950576"/>
    <s v="Claudia Gómez"/>
  </r>
  <r>
    <s v="T009"/>
    <x v="8"/>
    <n v="24000.7"/>
    <n v="6"/>
    <n v="144004.20000000001"/>
    <x v="4"/>
    <n v="10980436"/>
    <s v="Stella Trois"/>
  </r>
  <r>
    <s v="T010"/>
    <x v="9"/>
    <n v="12000.2"/>
    <n v="5"/>
    <n v="60001"/>
    <x v="5"/>
    <n v="10985229"/>
    <s v="Carlos González"/>
  </r>
  <r>
    <s v="T001"/>
    <x v="0"/>
    <n v="12000.45"/>
    <n v="7"/>
    <n v="84003.150000000009"/>
    <x v="6"/>
    <n v="10997554"/>
    <s v="Sandra Perea"/>
  </r>
  <r>
    <s v="T002"/>
    <x v="1"/>
    <n v="12200.6"/>
    <n v="6"/>
    <n v="73203.600000000006"/>
    <x v="7"/>
    <n v="10927346"/>
    <s v="Pedro Bedoya"/>
  </r>
  <r>
    <s v="T003"/>
    <x v="2"/>
    <n v="15000.15"/>
    <n v="6"/>
    <n v="90000.9"/>
    <x v="8"/>
    <n v="10973306"/>
    <s v="Juan Tamaríz"/>
  </r>
  <r>
    <s v="T004"/>
    <x v="3"/>
    <n v="6000.5"/>
    <n v="4"/>
    <n v="24002"/>
    <x v="9"/>
    <n v="10927261"/>
    <s v="Raúl Velazco"/>
  </r>
  <r>
    <s v="T005"/>
    <x v="4"/>
    <n v="6000.1"/>
    <n v="1"/>
    <n v="6000.1"/>
    <x v="10"/>
    <n v="10986797"/>
    <s v="Antonio Pérez"/>
  </r>
  <r>
    <s v="T006"/>
    <x v="5"/>
    <n v="6100.5"/>
    <n v="8"/>
    <n v="48804"/>
    <x v="11"/>
    <n v="10963232"/>
    <s v="Carlos Ramírez"/>
  </r>
  <r>
    <s v="T007"/>
    <x v="6"/>
    <n v="20000.349999999999"/>
    <n v="4"/>
    <n v="80001.399999999994"/>
    <x v="0"/>
    <n v="10951775"/>
    <s v="María López"/>
  </r>
  <r>
    <s v="T008"/>
    <x v="7"/>
    <n v="11000.24"/>
    <n v="10"/>
    <n v="110002.4"/>
    <x v="1"/>
    <n v="10950576"/>
    <s v="Claudia Gómez"/>
  </r>
  <r>
    <s v="T009"/>
    <x v="8"/>
    <n v="24000.7"/>
    <n v="3"/>
    <n v="72002.100000000006"/>
    <x v="2"/>
    <n v="10980436"/>
    <s v="Stella Trois"/>
  </r>
  <r>
    <s v="T010"/>
    <x v="9"/>
    <n v="12000.2"/>
    <n v="4"/>
    <n v="48000.800000000003"/>
    <x v="3"/>
    <n v="10985229"/>
    <s v="Carlos González"/>
  </r>
  <r>
    <s v="T001"/>
    <x v="0"/>
    <n v="12000.45"/>
    <n v="2"/>
    <n v="24000.9"/>
    <x v="4"/>
    <n v="10997554"/>
    <s v="Sandra Perea"/>
  </r>
  <r>
    <s v="T002"/>
    <x v="1"/>
    <n v="12200.6"/>
    <n v="2"/>
    <n v="24401.200000000001"/>
    <x v="5"/>
    <n v="10927346"/>
    <s v="Pedro Bedoya"/>
  </r>
  <r>
    <s v="T003"/>
    <x v="2"/>
    <n v="15000.15"/>
    <n v="1"/>
    <n v="15000.15"/>
    <x v="6"/>
    <n v="10973306"/>
    <s v="Juan Tamaríz"/>
  </r>
  <r>
    <s v="T004"/>
    <x v="3"/>
    <n v="6000.5"/>
    <n v="7"/>
    <n v="42003.5"/>
    <x v="7"/>
    <n v="10927261"/>
    <s v="Raúl Velazco"/>
  </r>
  <r>
    <s v="T005"/>
    <x v="4"/>
    <n v="6000.1"/>
    <n v="8"/>
    <n v="48000.800000000003"/>
    <x v="8"/>
    <n v="10986797"/>
    <s v="Antonio Pérez"/>
  </r>
  <r>
    <s v="T006"/>
    <x v="5"/>
    <n v="6100.5"/>
    <n v="4"/>
    <n v="24402"/>
    <x v="9"/>
    <n v="10963232"/>
    <s v="Carlos Ramírez"/>
  </r>
  <r>
    <s v="T007"/>
    <x v="6"/>
    <n v="20000.349999999999"/>
    <n v="3"/>
    <n v="60001.049999999996"/>
    <x v="10"/>
    <n v="10951775"/>
    <s v="María López"/>
  </r>
  <r>
    <s v="T008"/>
    <x v="7"/>
    <n v="11000.24"/>
    <n v="5"/>
    <n v="55001.2"/>
    <x v="11"/>
    <n v="10950576"/>
    <s v="Claudia Gómez"/>
  </r>
  <r>
    <s v="T009"/>
    <x v="8"/>
    <n v="24000.7"/>
    <n v="2"/>
    <n v="48001.4"/>
    <x v="0"/>
    <n v="10980436"/>
    <s v="Stella Trois"/>
  </r>
  <r>
    <s v="T010"/>
    <x v="9"/>
    <n v="12000.2"/>
    <n v="4"/>
    <n v="48000.800000000003"/>
    <x v="1"/>
    <n v="10985229"/>
    <s v="Carlos González"/>
  </r>
  <r>
    <s v="T001"/>
    <x v="0"/>
    <n v="12000.45"/>
    <n v="5"/>
    <n v="60002.25"/>
    <x v="2"/>
    <n v="10997554"/>
    <s v="Sandra Perea"/>
  </r>
  <r>
    <s v="T002"/>
    <x v="1"/>
    <n v="12200.6"/>
    <n v="4"/>
    <n v="48802.400000000001"/>
    <x v="3"/>
    <n v="10927346"/>
    <s v="Pedro Bedoya"/>
  </r>
  <r>
    <s v="T003"/>
    <x v="2"/>
    <n v="15000.15"/>
    <n v="9"/>
    <n v="135001.35"/>
    <x v="4"/>
    <n v="10973306"/>
    <s v="Juan Tamaríz"/>
  </r>
  <r>
    <s v="T004"/>
    <x v="3"/>
    <n v="6000.5"/>
    <n v="9"/>
    <n v="54004.5"/>
    <x v="5"/>
    <n v="10927261"/>
    <s v="Raúl Velazco"/>
  </r>
  <r>
    <s v="T005"/>
    <x v="4"/>
    <n v="6000.1"/>
    <n v="10"/>
    <n v="60001"/>
    <x v="6"/>
    <n v="10986797"/>
    <s v="Antonio Pérez"/>
  </r>
  <r>
    <s v="T006"/>
    <x v="5"/>
    <n v="6100.5"/>
    <n v="8"/>
    <n v="48804"/>
    <x v="7"/>
    <n v="10963232"/>
    <s v="Carlos Ramírez"/>
  </r>
  <r>
    <s v="T007"/>
    <x v="6"/>
    <n v="20000.349999999999"/>
    <n v="5"/>
    <n v="100001.75"/>
    <x v="8"/>
    <n v="10951775"/>
    <s v="María López"/>
  </r>
  <r>
    <s v="T008"/>
    <x v="7"/>
    <n v="11000.24"/>
    <n v="2"/>
    <n v="22000.48"/>
    <x v="9"/>
    <n v="10950576"/>
    <s v="Claudia Gómez"/>
  </r>
  <r>
    <s v="T009"/>
    <x v="8"/>
    <n v="24000.7"/>
    <n v="9"/>
    <n v="216006.30000000002"/>
    <x v="10"/>
    <n v="10980436"/>
    <s v="Stella Trois"/>
  </r>
  <r>
    <s v="T010"/>
    <x v="9"/>
    <n v="12000.2"/>
    <n v="7"/>
    <n v="84001.400000000009"/>
    <x v="11"/>
    <n v="10985229"/>
    <s v="Carlos González"/>
  </r>
  <r>
    <s v="T001"/>
    <x v="0"/>
    <n v="12000.45"/>
    <n v="5"/>
    <n v="60002.25"/>
    <x v="0"/>
    <n v="10997554"/>
    <s v="Sandra Perea"/>
  </r>
  <r>
    <s v="T002"/>
    <x v="1"/>
    <n v="12200.6"/>
    <n v="10"/>
    <n v="122006"/>
    <x v="1"/>
    <n v="10927346"/>
    <s v="Pedro Bedoya"/>
  </r>
  <r>
    <s v="T003"/>
    <x v="2"/>
    <n v="15000.15"/>
    <n v="7"/>
    <n v="105001.05"/>
    <x v="2"/>
    <n v="10973306"/>
    <s v="Juan Tamaríz"/>
  </r>
  <r>
    <s v="T004"/>
    <x v="3"/>
    <n v="6000.5"/>
    <n v="5"/>
    <n v="30002.5"/>
    <x v="3"/>
    <n v="10927261"/>
    <s v="Raúl Velazco"/>
  </r>
  <r>
    <s v="T005"/>
    <x v="4"/>
    <n v="6000.1"/>
    <n v="3"/>
    <n v="18000.300000000003"/>
    <x v="4"/>
    <n v="10986797"/>
    <s v="Antonio Pérez"/>
  </r>
  <r>
    <s v="T006"/>
    <x v="5"/>
    <n v="6100.5"/>
    <n v="10"/>
    <n v="61005"/>
    <x v="5"/>
    <n v="10963232"/>
    <s v="Carlos Ramírez"/>
  </r>
  <r>
    <s v="T007"/>
    <x v="6"/>
    <n v="20000.349999999999"/>
    <n v="8"/>
    <n v="160002.79999999999"/>
    <x v="6"/>
    <n v="10951775"/>
    <s v="María López"/>
  </r>
  <r>
    <s v="T008"/>
    <x v="7"/>
    <n v="11000.24"/>
    <n v="2"/>
    <n v="22000.48"/>
    <x v="7"/>
    <n v="10950576"/>
    <s v="Claudia Gómez"/>
  </r>
  <r>
    <s v="T009"/>
    <x v="8"/>
    <n v="24000.7"/>
    <n v="6"/>
    <n v="144004.20000000001"/>
    <x v="8"/>
    <n v="10980436"/>
    <s v="Stella Trois"/>
  </r>
  <r>
    <s v="T010"/>
    <x v="9"/>
    <n v="12000.2"/>
    <n v="1"/>
    <n v="12000.2"/>
    <x v="9"/>
    <n v="10985229"/>
    <s v="Carlos González"/>
  </r>
  <r>
    <s v="T001"/>
    <x v="0"/>
    <n v="12000.45"/>
    <n v="3"/>
    <n v="36001.350000000006"/>
    <x v="10"/>
    <n v="10997554"/>
    <s v="Sandra Perea"/>
  </r>
  <r>
    <s v="T002"/>
    <x v="1"/>
    <n v="12200.6"/>
    <n v="9"/>
    <n v="109805.40000000001"/>
    <x v="11"/>
    <n v="10927346"/>
    <s v="Pedro Bedoya"/>
  </r>
  <r>
    <s v="T003"/>
    <x v="2"/>
    <n v="15000.15"/>
    <n v="10"/>
    <n v="150001.5"/>
    <x v="0"/>
    <n v="10973306"/>
    <s v="Juan Tamaríz"/>
  </r>
  <r>
    <s v="T004"/>
    <x v="3"/>
    <n v="6000.5"/>
    <n v="7"/>
    <n v="42003.5"/>
    <x v="1"/>
    <n v="10927261"/>
    <s v="Raúl Velazco"/>
  </r>
  <r>
    <s v="T005"/>
    <x v="4"/>
    <n v="6000.1"/>
    <n v="7"/>
    <n v="42000.700000000004"/>
    <x v="2"/>
    <n v="10986797"/>
    <s v="Antonio Pérez"/>
  </r>
  <r>
    <s v="T006"/>
    <x v="5"/>
    <n v="6100.5"/>
    <n v="3"/>
    <n v="18301.5"/>
    <x v="3"/>
    <n v="10963232"/>
    <s v="Carlos Ramírez"/>
  </r>
  <r>
    <s v="T007"/>
    <x v="6"/>
    <n v="20000.349999999999"/>
    <n v="5"/>
    <n v="100001.75"/>
    <x v="4"/>
    <n v="10951775"/>
    <s v="María López"/>
  </r>
  <r>
    <s v="T008"/>
    <x v="7"/>
    <n v="11000.24"/>
    <n v="8"/>
    <n v="88001.919999999998"/>
    <x v="5"/>
    <n v="10950576"/>
    <s v="Claudia Gómez"/>
  </r>
  <r>
    <s v="T009"/>
    <x v="8"/>
    <n v="24000.7"/>
    <n v="4"/>
    <n v="96002.8"/>
    <x v="6"/>
    <n v="10980436"/>
    <s v="Stella Trois"/>
  </r>
  <r>
    <s v="T010"/>
    <x v="9"/>
    <n v="12000.2"/>
    <n v="6"/>
    <n v="72001.200000000012"/>
    <x v="7"/>
    <n v="10985229"/>
    <s v="Carlos González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BC1ED3-7079-4BA2-B8BC-B7A71C53AE41}" name="TablaDinámica3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M3:N14" firstHeaderRow="1" firstDataRow="1" firstDataCol="1" rowPageCount="1" colPageCount="1"/>
  <pivotFields count="8">
    <pivotField showAll="0"/>
    <pivotField axis="axisRow" showAll="0">
      <items count="11">
        <item x="9"/>
        <item x="7"/>
        <item x="6"/>
        <item x="8"/>
        <item x="5"/>
        <item x="2"/>
        <item x="4"/>
        <item x="1"/>
        <item x="3"/>
        <item x="0"/>
        <item t="default"/>
      </items>
    </pivotField>
    <pivotField numFmtId="164" showAll="0"/>
    <pivotField dataField="1" showAll="0"/>
    <pivotField numFmtId="165" showAll="0"/>
    <pivotField axis="axisPage" multipleItemSelectionAllowed="1" showAll="0">
      <items count="13">
        <item x="8"/>
        <item x="9"/>
        <item x="10"/>
        <item h="1" x="11"/>
        <item h="1" x="0"/>
        <item h="1" x="1"/>
        <item h="1" x="2"/>
        <item h="1" x="3"/>
        <item h="1" x="4"/>
        <item h="1" x="5"/>
        <item h="1" x="6"/>
        <item h="1" x="7"/>
        <item t="default"/>
      </items>
    </pivotField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5" hier="-1"/>
  </pageFields>
  <dataFields count="1">
    <dataField name="Suma de Cantidad" fld="3" baseField="0" baseItem="0"/>
  </dataFields>
  <formats count="6"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1" type="button" dataOnly="0" labelOnly="1" outline="0" axis="axisRow" fieldPosition="0"/>
    </format>
    <format dxfId="44">
      <pivotArea dataOnly="0" labelOnly="1" fieldPosition="0">
        <references count="1">
          <reference field="1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D3EB60-4602-4251-9003-1F8909A28A0C}" name="TablaDinámica2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H3:I14" firstHeaderRow="1" firstDataRow="1" firstDataCol="1" rowPageCount="1" colPageCount="1"/>
  <pivotFields count="3">
    <pivotField axis="axisRow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2" hier="5" name="[Productos5].[mes].&amp;[Enero]" cap="Enero"/>
  </pageFields>
  <dataFields count="1">
    <dataField name="Suma de Total" fld="1" baseField="0" baseItem="0" numFmtId="166"/>
  </dataFields>
  <formats count="7">
    <format dxfId="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outline="0" axis="axisValues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2"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[Productos5].[mes].&amp;[Enero]"/>
        <member name="[Productos5].[mes].&amp;[Marzo]"/>
        <member name="[Productos5].[mes].&amp;[Febrero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91290852 Taller4.xlsx!Productos5">
        <x15:activeTabTopLevelEntity name="[Productos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3723E7-38E6-4D5F-9BC5-EB65ED2AF73A}" name="TablaDinámica1" cacheId="0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 chartFormat="1">
  <location ref="A3:B14" firstHeaderRow="1" firstDataRow="1" firstDataCol="1" rowPageCount="1" colPageCount="1"/>
  <pivotFields count="3"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0" hier="5" name="[Productos5].[mes].&amp;[Enero]" cap="Enero"/>
  </pageFields>
  <dataFields count="1">
    <dataField name="Suma de Total" fld="2" baseField="0" baseItem="0" numFmtId="42"/>
  </dataFields>
  <formats count="7">
    <format dxfId="61">
      <pivotArea outline="0" collapsedLevelsAreSubtotals="1" fieldPosition="0"/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1" type="button" dataOnly="0" labelOnly="1" outline="0" axis="axisRow" fieldPosition="0"/>
    </format>
    <format dxfId="57">
      <pivotArea dataOnly="0" labelOnly="1" fieldPosition="0">
        <references count="1">
          <reference field="1" count="0"/>
        </references>
      </pivotArea>
    </format>
    <format dxfId="56">
      <pivotArea dataOnly="0" labelOnly="1" grandRow="1" outline="0" fieldPosition="0"/>
    </format>
    <format dxfId="5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2"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[Productos5].[mes].&amp;[Enero]"/>
        <member name="[Productos5].[mes].&amp;[Marzo]"/>
        <member name="[Productos5].[mes].&amp;[Febrero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91290852 Taller4.xlsx!Productos5">
        <x15:activeTabTopLevelEntity name="[Productos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00E716-A915-4DA5-A9B1-1EFC9F768CC1}" name="Productos5" displayName="Productos5" ref="B3:I83" totalsRowShown="0" headerRowDxfId="41" dataDxfId="39" headerRowBorderDxfId="40" tableBorderDxfId="38" totalsRowBorderDxfId="37">
  <autoFilter ref="B3:I83" xr:uid="{510EBA50-E2E3-43ED-B540-D8F7803331F8}"/>
  <sortState xmlns:xlrd2="http://schemas.microsoft.com/office/spreadsheetml/2017/richdata2" ref="B4:D13">
    <sortCondition ref="B4:B13"/>
  </sortState>
  <tableColumns count="8">
    <tableColumn id="1" xr3:uid="{415FCF80-61AB-40EE-8D59-6B42C4B780F5}" name="CódigoV" dataDxfId="36">
      <calculatedColumnFormula>RANDBETWEEN(1,200)</calculatedColumnFormula>
    </tableColumn>
    <tableColumn id="2" xr3:uid="{ECEA243A-6304-495A-A6FF-7F6EE40E0462}" name="Nombre" dataDxfId="35"/>
    <tableColumn id="3" xr3:uid="{1E6A3D94-0B99-4729-B0BA-0E535A1B6A83}" name="Valor unitario" dataDxfId="34"/>
    <tableColumn id="4" xr3:uid="{D33250BD-D680-4AB2-AA6F-0DADA0EBDD88}" name="Cantidad" dataDxfId="33"/>
    <tableColumn id="5" xr3:uid="{34CF2ACD-77CD-43B2-AA1B-0D76CD505D1F}" name="Total" dataDxfId="32">
      <calculatedColumnFormula>Productos5[[#This Row],[Valor unitario]]*Productos5[[#This Row],[Cantidad]]</calculatedColumnFormula>
    </tableColumn>
    <tableColumn id="6" xr3:uid="{DAB91908-7F58-43DB-A0C7-62A7B9E95883}" name="mes" dataDxfId="31"/>
    <tableColumn id="7" xr3:uid="{6F3CC00B-A7D4-4E41-AD60-8DF33E403330}" name="CC.VendedorV" dataDxfId="30"/>
    <tableColumn id="8" xr3:uid="{C5D81FF1-C473-4EA6-BBDA-3D7DCD0B18DC}" name="Nombre Vendedor" dataDxfId="29">
      <calculatedColumnFormula>CONCATENATE(VLOOKUP(Productos5[[#This Row],[CC.VendedorV]],Vendedores[],2,FALSE)," ", VLOOKUP(Productos5[[#This Row],[CC.VendedorV]],Vendedores[],3,FALSE))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CD5249-9750-45CA-A745-C204A75C1EE9}" name="Tabla5" displayName="Tabla5" ref="A1:G2" totalsRowShown="0" headerRowDxfId="28">
  <autoFilter ref="A1:G2" xr:uid="{BACD5249-9750-45CA-A745-C204A75C1EE9}"/>
  <tableColumns count="7">
    <tableColumn id="10" xr3:uid="{26E2D57B-8FD0-424A-B8AD-CC427A2291F7}" name="Factura N°"/>
    <tableColumn id="11" xr3:uid="{82964147-75E4-4516-B6A7-A78A20958D88}" name="IVA" dataDxfId="27"/>
    <tableColumn id="1" xr3:uid="{D7B4D5A5-3D11-4D41-9B24-99C1845F5D90}" name="Descuento" dataDxfId="26"/>
    <tableColumn id="5" xr3:uid="{44794DAF-B230-46A6-AC5B-0429A0F70C9D}" name="Total_Factura" dataDxfId="25"/>
    <tableColumn id="6" xr3:uid="{B992A3E2-56E6-4366-9211-397026976309}" name="Fecha" dataDxfId="24"/>
    <tableColumn id="7" xr3:uid="{70FC9ECA-E5AD-4C27-920C-AA7206F196C5}" name="Cliente" dataDxfId="23"/>
    <tableColumn id="8" xr3:uid="{16FE5D2F-69C4-475E-90B6-A41114E3BD2B}" name="Vendedor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B22F85-78B5-47C2-B4D1-594476EED67D}" name="Clientes" displayName="Clientes" ref="B2:G202" totalsRowShown="0" headerRowDxfId="21" headerRowBorderDxfId="20" tableBorderDxfId="19" totalsRowBorderDxfId="18">
  <autoFilter ref="B2:G202" xr:uid="{FEB22F85-78B5-47C2-B4D1-594476EED67D}"/>
  <tableColumns count="6">
    <tableColumn id="1" xr3:uid="{5B43569B-CB4A-4CFF-878A-509E7F072279}" name="Cédula" dataDxfId="17"/>
    <tableColumn id="2" xr3:uid="{3F47379C-0B12-43F0-BBE9-B3BEEB439AB4}" name="Nombre" dataDxfId="16"/>
    <tableColumn id="3" xr3:uid="{D8C16AFC-4646-4490-B4AE-99FF3E15EB5D}" name="Apellido" dataDxfId="15"/>
    <tableColumn id="4" xr3:uid="{FAFA7ACF-4277-42B4-AA1E-8DDE5A9E061A}" name="Teléfono" dataDxfId="14"/>
    <tableColumn id="5" xr3:uid="{982CA086-3712-49EB-8A4D-2CF91A1DFD3C}" name="Dirección" dataDxfId="13"/>
    <tableColumn id="6" xr3:uid="{794C777F-6720-4570-A5F8-ED1ED719D74A}" name="e-mail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0EBA50-E2E3-43ED-B540-D8F7803331F8}" name="Productos" displayName="Productos" ref="B3:D13" totalsRowShown="0" headerRowDxfId="11">
  <autoFilter ref="B3:D13" xr:uid="{510EBA50-E2E3-43ED-B540-D8F7803331F8}"/>
  <sortState xmlns:xlrd2="http://schemas.microsoft.com/office/spreadsheetml/2017/richdata2" ref="B4:D13">
    <sortCondition ref="B4:B13"/>
  </sortState>
  <tableColumns count="3">
    <tableColumn id="1" xr3:uid="{15C2581B-0471-43B9-9028-A6C1C5A04B74}" name="Código" dataDxfId="10">
      <calculatedColumnFormula>RANDBETWEEN(1,200)</calculatedColumnFormula>
    </tableColumn>
    <tableColumn id="2" xr3:uid="{6B6E14A6-0613-481F-B49D-9A35477B62A9}" name="Nombre" dataDxfId="9"/>
    <tableColumn id="3" xr3:uid="{F8FB5996-CD51-4F95-8BBB-E8A1CE849BC6}" name="Valor unitario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6543DD-783F-4AA7-8CA6-90E1E6276ACD}" name="Vendedores" displayName="Vendedores" ref="B3:E13" totalsRowShown="0" headerRowDxfId="7" headerRowBorderDxfId="6" tableBorderDxfId="5" totalsRowBorderDxfId="4">
  <autoFilter ref="B3:E13" xr:uid="{436543DD-783F-4AA7-8CA6-90E1E6276ACD}"/>
  <tableColumns count="4">
    <tableColumn id="1" xr3:uid="{783F3CCA-9DBA-4731-BDD8-D0ADAFCB6903}" name="Cédula" dataDxfId="3"/>
    <tableColumn id="2" xr3:uid="{ED53D764-7A51-4837-A78F-CE730340ED70}" name="Nombre" dataDxfId="2"/>
    <tableColumn id="3" xr3:uid="{ED6C41F1-82A1-47AE-AA47-9C300B4D22A1}" name="Apellidos" dataDxfId="1"/>
    <tableColumn id="4" xr3:uid="{8C60BFBF-7D88-4D78-AD82-4B6C5F31C692}" name="Venta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andr&#233;s.felipe@dominio.com" TargetMode="External"/><Relationship Id="rId2" Type="http://schemas.openxmlformats.org/officeDocument/2006/relationships/hyperlink" Target="mailto:gala.donaire@dominio.com" TargetMode="External"/><Relationship Id="rId1" Type="http://schemas.openxmlformats.org/officeDocument/2006/relationships/hyperlink" Target="mailto:pedro.perez@dominio.com" TargetMode="External"/><Relationship Id="rId6" Type="http://schemas.openxmlformats.org/officeDocument/2006/relationships/table" Target="../tables/table3.xml"/><Relationship Id="rId5" Type="http://schemas.openxmlformats.org/officeDocument/2006/relationships/vmlDrawing" Target="../drawings/vmlDrawing4.v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603A6-A595-45DA-BF71-2175DA09BD43}">
  <sheetPr codeName="Hoja4"/>
  <dimension ref="B1:F24"/>
  <sheetViews>
    <sheetView tabSelected="1" view="pageBreakPreview" zoomScaleNormal="90" zoomScaleSheetLayoutView="100" workbookViewId="0">
      <selection activeCell="E1" sqref="E1:F1"/>
    </sheetView>
  </sheetViews>
  <sheetFormatPr baseColWidth="10" defaultRowHeight="15" x14ac:dyDescent="0.25"/>
  <cols>
    <col min="1" max="1" width="6.5703125" style="30" customWidth="1"/>
    <col min="2" max="2" width="17.7109375" style="30" customWidth="1"/>
    <col min="3" max="3" width="30.28515625" style="30" customWidth="1"/>
    <col min="4" max="4" width="20.28515625" style="30" customWidth="1"/>
    <col min="5" max="5" width="21.85546875" style="30" customWidth="1"/>
    <col min="6" max="6" width="18.140625" style="30" customWidth="1"/>
    <col min="7" max="16384" width="11.42578125" style="30"/>
  </cols>
  <sheetData>
    <row r="1" spans="2:6" ht="15.75" thickBot="1" x14ac:dyDescent="0.3">
      <c r="B1" s="27" t="s">
        <v>985</v>
      </c>
      <c r="C1" s="28">
        <v>2</v>
      </c>
      <c r="D1" s="29" t="s">
        <v>986</v>
      </c>
      <c r="E1" s="76" t="str">
        <f>IFERROR(CONCATENATE(VLOOKUP(E2,Clientes[],2,FALSE)," ",(VLOOKUP(E2,Clientes[],3,FALSE))),"")</f>
        <v>Andrés Felipe</v>
      </c>
      <c r="F1" s="77"/>
    </row>
    <row r="2" spans="2:6" x14ac:dyDescent="0.25">
      <c r="B2" s="31" t="s">
        <v>987</v>
      </c>
      <c r="C2" s="32">
        <f ca="1">TODAY()</f>
        <v>44708</v>
      </c>
      <c r="D2" s="33" t="s">
        <v>988</v>
      </c>
      <c r="E2" s="72">
        <v>10907703</v>
      </c>
      <c r="F2" s="73"/>
    </row>
    <row r="3" spans="2:6" x14ac:dyDescent="0.25">
      <c r="B3" s="74"/>
      <c r="C3" s="75"/>
      <c r="D3" s="33" t="s">
        <v>989</v>
      </c>
      <c r="E3" s="78" t="str">
        <f>IFERROR(VLOOKUP(E2,Clientes[],6,FALSE),"")</f>
        <v>andrés.felipe@dominio.com</v>
      </c>
      <c r="F3" s="79"/>
    </row>
    <row r="4" spans="2:6" x14ac:dyDescent="0.25">
      <c r="B4" s="74"/>
      <c r="C4" s="75"/>
      <c r="D4" s="33" t="s">
        <v>990</v>
      </c>
      <c r="E4" s="78" t="str">
        <f>IFERROR(VLOOKUP(E2,Clientes[],4,FALSE),"")</f>
        <v>57(6)81944</v>
      </c>
      <c r="F4" s="79"/>
    </row>
    <row r="5" spans="2:6" x14ac:dyDescent="0.25">
      <c r="B5" s="74"/>
      <c r="C5" s="75"/>
      <c r="D5" s="33" t="s">
        <v>991</v>
      </c>
      <c r="E5" s="78" t="str">
        <f>IFERROR(VLOOKUP(E2,Clientes[],5,FALSE),"")</f>
        <v>Carrera 55#44-31</v>
      </c>
      <c r="F5" s="79"/>
    </row>
    <row r="6" spans="2:6" x14ac:dyDescent="0.25">
      <c r="B6" s="31" t="s">
        <v>992</v>
      </c>
      <c r="C6" s="23" t="str">
        <f>IFERROR(CONCATENATE(VLOOKUP(E6,Vendedores[],2,FALSE)," ",(VLOOKUP(E6,Vendedores[],3,FALSE))),"")</f>
        <v>Juan Tamaríz</v>
      </c>
      <c r="D6" s="33" t="s">
        <v>993</v>
      </c>
      <c r="E6" s="72">
        <v>10973306</v>
      </c>
      <c r="F6" s="73"/>
    </row>
    <row r="7" spans="2:6" x14ac:dyDescent="0.25">
      <c r="B7" s="34"/>
      <c r="C7" s="35"/>
      <c r="D7" s="35"/>
      <c r="E7" s="35"/>
      <c r="F7" s="36"/>
    </row>
    <row r="8" spans="2:6" x14ac:dyDescent="0.25">
      <c r="B8" s="37" t="s">
        <v>1004</v>
      </c>
      <c r="C8" s="38" t="s">
        <v>994</v>
      </c>
      <c r="D8" s="38" t="s">
        <v>995</v>
      </c>
      <c r="E8" s="38" t="s">
        <v>996</v>
      </c>
      <c r="F8" s="39" t="s">
        <v>997</v>
      </c>
    </row>
    <row r="9" spans="2:6" x14ac:dyDescent="0.25">
      <c r="B9" s="40" t="s">
        <v>966</v>
      </c>
      <c r="C9" s="23" t="str">
        <f>IFERROR(VLOOKUP(B9,Productos[],2,FALSE),"")</f>
        <v>Yogurt líquido saborizado litro</v>
      </c>
      <c r="D9" s="41">
        <v>2</v>
      </c>
      <c r="E9" s="24">
        <f>IFERROR(VLOOKUP(B9,Productos[],3,FALSE),"0")</f>
        <v>12200.6</v>
      </c>
      <c r="F9" s="25">
        <f>E9*D9</f>
        <v>24401.200000000001</v>
      </c>
    </row>
    <row r="10" spans="2:6" x14ac:dyDescent="0.25">
      <c r="B10" s="40" t="s">
        <v>966</v>
      </c>
      <c r="C10" s="23" t="str">
        <f>IFERROR(VLOOKUP(B10,Productos[],2,FALSE),"")</f>
        <v>Yogurt líquido saborizado litro</v>
      </c>
      <c r="D10" s="41">
        <v>2</v>
      </c>
      <c r="E10" s="24">
        <f>IFERROR(VLOOKUP(B10,Productos[],3,FALSE),"0")</f>
        <v>12200.6</v>
      </c>
      <c r="F10" s="25">
        <f t="shared" ref="F10:F19" si="0">E10*D10</f>
        <v>24401.200000000001</v>
      </c>
    </row>
    <row r="11" spans="2:6" x14ac:dyDescent="0.25">
      <c r="B11" s="40" t="s">
        <v>966</v>
      </c>
      <c r="C11" s="23" t="str">
        <f>IFERROR(VLOOKUP(B11,Productos[],2,FALSE),"")</f>
        <v>Yogurt líquido saborizado litro</v>
      </c>
      <c r="D11" s="41">
        <v>2</v>
      </c>
      <c r="E11" s="24">
        <f>IFERROR(VLOOKUP(B11,Productos[],3,FALSE),"0")</f>
        <v>12200.6</v>
      </c>
      <c r="F11" s="25">
        <f t="shared" si="0"/>
        <v>24401.200000000001</v>
      </c>
    </row>
    <row r="12" spans="2:6" x14ac:dyDescent="0.25">
      <c r="B12" s="40"/>
      <c r="C12" s="23" t="str">
        <f>IFERROR(VLOOKUP(B12,Productos[],2,FALSE),"")</f>
        <v/>
      </c>
      <c r="D12" s="41"/>
      <c r="E12" s="24" t="str">
        <f>IFERROR(VLOOKUP(B12,Productos[],3,FALSE),"0")</f>
        <v>0</v>
      </c>
      <c r="F12" s="25">
        <f t="shared" si="0"/>
        <v>0</v>
      </c>
    </row>
    <row r="13" spans="2:6" x14ac:dyDescent="0.25">
      <c r="B13" s="40"/>
      <c r="C13" s="23" t="str">
        <f>IFERROR(VLOOKUP(B13,Productos[],2,FALSE),"")</f>
        <v/>
      </c>
      <c r="D13" s="41"/>
      <c r="E13" s="24" t="str">
        <f>IFERROR(VLOOKUP(B13,Productos[],3,FALSE),"0")</f>
        <v>0</v>
      </c>
      <c r="F13" s="25">
        <f t="shared" si="0"/>
        <v>0</v>
      </c>
    </row>
    <row r="14" spans="2:6" x14ac:dyDescent="0.25">
      <c r="B14" s="40"/>
      <c r="C14" s="23" t="str">
        <f>IFERROR(VLOOKUP(B14,Productos[],2,FALSE),"")</f>
        <v/>
      </c>
      <c r="D14" s="41"/>
      <c r="E14" s="24" t="str">
        <f>IFERROR(VLOOKUP(B14,Productos[],3,FALSE),"0")</f>
        <v>0</v>
      </c>
      <c r="F14" s="25">
        <f t="shared" si="0"/>
        <v>0</v>
      </c>
    </row>
    <row r="15" spans="2:6" x14ac:dyDescent="0.25">
      <c r="B15" s="40"/>
      <c r="C15" s="23" t="str">
        <f>IFERROR(VLOOKUP(B15,Productos[],2,FALSE),"")</f>
        <v/>
      </c>
      <c r="D15" s="41"/>
      <c r="E15" s="24" t="str">
        <f>IFERROR(VLOOKUP(B15,Productos[],3,FALSE),"0")</f>
        <v>0</v>
      </c>
      <c r="F15" s="25">
        <f t="shared" si="0"/>
        <v>0</v>
      </c>
    </row>
    <row r="16" spans="2:6" x14ac:dyDescent="0.25">
      <c r="B16" s="40"/>
      <c r="C16" s="23" t="str">
        <f>IFERROR(VLOOKUP(B16,Productos[],2,FALSE),"")</f>
        <v/>
      </c>
      <c r="D16" s="41"/>
      <c r="E16" s="24" t="str">
        <f>IFERROR(VLOOKUP(B16,Productos[],3,FALSE),"0")</f>
        <v>0</v>
      </c>
      <c r="F16" s="25">
        <f t="shared" si="0"/>
        <v>0</v>
      </c>
    </row>
    <row r="17" spans="2:6" x14ac:dyDescent="0.25">
      <c r="B17" s="40"/>
      <c r="C17" s="23" t="str">
        <f>IFERROR(VLOOKUP(B17,Productos[],2,FALSE),"")</f>
        <v/>
      </c>
      <c r="D17" s="41"/>
      <c r="E17" s="24" t="str">
        <f>IFERROR(VLOOKUP(B17,Productos[],3,FALSE),"0")</f>
        <v>0</v>
      </c>
      <c r="F17" s="25">
        <f t="shared" si="0"/>
        <v>0</v>
      </c>
    </row>
    <row r="18" spans="2:6" x14ac:dyDescent="0.25">
      <c r="B18" s="40"/>
      <c r="C18" s="23" t="str">
        <f>IFERROR(VLOOKUP(B18,Productos[],2,FALSE),"")</f>
        <v/>
      </c>
      <c r="D18" s="41"/>
      <c r="E18" s="24" t="str">
        <f>IFERROR(VLOOKUP(B18,Productos[],3,FALSE),"0")</f>
        <v>0</v>
      </c>
      <c r="F18" s="25">
        <f t="shared" si="0"/>
        <v>0</v>
      </c>
    </row>
    <row r="19" spans="2:6" x14ac:dyDescent="0.25">
      <c r="B19" s="40"/>
      <c r="C19" s="23" t="str">
        <f>IFERROR(VLOOKUP(B19,Productos[],2,FALSE),"")</f>
        <v/>
      </c>
      <c r="D19" s="41"/>
      <c r="E19" s="24" t="str">
        <f>IFERROR(VLOOKUP(B19,Productos[],3,FALSE),"0")</f>
        <v>0</v>
      </c>
      <c r="F19" s="25">
        <f t="shared" si="0"/>
        <v>0</v>
      </c>
    </row>
    <row r="20" spans="2:6" x14ac:dyDescent="0.25">
      <c r="B20" s="34"/>
      <c r="C20" s="35"/>
      <c r="D20" s="35"/>
      <c r="E20" s="35"/>
      <c r="F20" s="36"/>
    </row>
    <row r="21" spans="2:6" x14ac:dyDescent="0.25">
      <c r="B21" s="42" t="s">
        <v>1002</v>
      </c>
      <c r="C21" s="43" t="s">
        <v>1059</v>
      </c>
      <c r="D21" s="35"/>
      <c r="E21" s="44" t="s">
        <v>998</v>
      </c>
      <c r="F21" s="25">
        <f>INT(SUM(F9:F19))</f>
        <v>73203</v>
      </c>
    </row>
    <row r="22" spans="2:6" x14ac:dyDescent="0.25">
      <c r="B22" s="42" t="s">
        <v>1003</v>
      </c>
      <c r="C22" s="45">
        <v>44702</v>
      </c>
      <c r="D22" s="35"/>
      <c r="E22" s="44" t="s">
        <v>999</v>
      </c>
      <c r="F22" s="25">
        <f>INT(F21*Descuento1)</f>
        <v>-733</v>
      </c>
    </row>
    <row r="23" spans="2:6" x14ac:dyDescent="0.25">
      <c r="B23" s="34"/>
      <c r="C23" s="35"/>
      <c r="D23" s="35"/>
      <c r="E23" s="44" t="s">
        <v>1000</v>
      </c>
      <c r="F23" s="25">
        <f>INT(F21*IVA)</f>
        <v>13908</v>
      </c>
    </row>
    <row r="24" spans="2:6" ht="15.75" thickBot="1" x14ac:dyDescent="0.3">
      <c r="B24" s="46"/>
      <c r="C24" s="47"/>
      <c r="D24" s="47"/>
      <c r="E24" s="48" t="s">
        <v>1001</v>
      </c>
      <c r="F24" s="26">
        <f>INT(SUM(F21:F23))</f>
        <v>86378</v>
      </c>
    </row>
  </sheetData>
  <sheetProtection algorithmName="SHA-512" hashValue="A1xWWYWNmpqpIYP7MAdjqVjjCJLEMfFtBesSrxqWpMtlSsP0PsukpDeJthBMmRCgwYRKPi3AHBe2MlTIw1unaw==" saltValue="QKX1ayDjNNDA5JLGb16x8g==" spinCount="100000" sheet="1"/>
  <mergeCells count="8">
    <mergeCell ref="E6:F6"/>
    <mergeCell ref="B3:B5"/>
    <mergeCell ref="C3:C5"/>
    <mergeCell ref="E1:F1"/>
    <mergeCell ref="E2:F2"/>
    <mergeCell ref="E3:F3"/>
    <mergeCell ref="E4:F4"/>
    <mergeCell ref="E5:F5"/>
  </mergeCells>
  <pageMargins left="1.0104166666666667" right="0.70866141732283472" top="1.3385826771653544" bottom="0.74803149606299213" header="0.51181102362204722" footer="0.31496062992125984"/>
  <pageSetup orientation="landscape" r:id="rId1"/>
  <headerFooter>
    <oddHeader xml:space="preserve">&amp;L                &amp;G&amp;C&amp;"Cooper Black,Negrita"&amp;24&amp;K002060LÁCTEOS LPG&amp;RCalle 22 # 33-25
Barrancabermeja, Santander </oddHeader>
    <oddFooter xml:space="preserve">&amp;CPágina &amp;P de &amp;N &amp;R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gistrarVenta">
                <anchor moveWithCells="1" sizeWithCells="1">
                  <from>
                    <xdr:col>6</xdr:col>
                    <xdr:colOff>219075</xdr:colOff>
                    <xdr:row>16</xdr:row>
                    <xdr:rowOff>9525</xdr:rowOff>
                  </from>
                  <to>
                    <xdr:col>7</xdr:col>
                    <xdr:colOff>590550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Imprimir">
                <anchor moveWithCells="1" sizeWithCells="1">
                  <from>
                    <xdr:col>6</xdr:col>
                    <xdr:colOff>219075</xdr:colOff>
                    <xdr:row>18</xdr:row>
                    <xdr:rowOff>180975</xdr:rowOff>
                  </from>
                  <to>
                    <xdr:col>7</xdr:col>
                    <xdr:colOff>590550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Limpiar">
                <anchor moveWithCells="1" sizeWithCells="1">
                  <from>
                    <xdr:col>6</xdr:col>
                    <xdr:colOff>219075</xdr:colOff>
                    <xdr:row>21</xdr:row>
                    <xdr:rowOff>142875</xdr:rowOff>
                  </from>
                  <to>
                    <xdr:col>7</xdr:col>
                    <xdr:colOff>590550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A76216-4322-4545-8BDB-B42F830A50D0}">
          <x14:formula1>
            <xm:f>Producto!$B$4:$B$13</xm:f>
          </x14:formula1>
          <xm:sqref>B9:B19</xm:sqref>
        </x14:dataValidation>
        <x14:dataValidation type="list" allowBlank="1" showInputMessage="1" showErrorMessage="1" xr:uid="{2AEADB1B-3984-4A6E-9982-E19C38BD8E8F}">
          <x14:formula1>
            <xm:f>Vendedores!$B$4:$B$13</xm:f>
          </x14:formula1>
          <xm:sqref>E6:F6</xm:sqref>
        </x14:dataValidation>
        <x14:dataValidation type="list" allowBlank="1" showInputMessage="1" showErrorMessage="1" xr:uid="{D346C91C-B215-4454-BEF2-04D6D6050B0A}">
          <x14:formula1>
            <xm:f>'Clientes'!$B$3:$B$202</xm:f>
          </x14:formula1>
          <xm:sqref>E2:F2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12F8-409A-4DB5-84EB-D2EB87205FE3}">
  <sheetPr codeName="Hoja2"/>
  <dimension ref="A1:N14"/>
  <sheetViews>
    <sheetView topLeftCell="A10" workbookViewId="0">
      <selection activeCell="B3" sqref="B3"/>
    </sheetView>
  </sheetViews>
  <sheetFormatPr baseColWidth="10" defaultRowHeight="15" x14ac:dyDescent="0.25"/>
  <cols>
    <col min="1" max="1" width="17.5703125" style="30" bestFit="1" customWidth="1"/>
    <col min="2" max="2" width="20.42578125" style="30" bestFit="1" customWidth="1"/>
    <col min="3" max="7" width="11.42578125" style="30"/>
    <col min="8" max="8" width="35.28515625" style="30" bestFit="1" customWidth="1"/>
    <col min="9" max="9" width="20.42578125" style="30" bestFit="1" customWidth="1"/>
    <col min="10" max="11" width="20.42578125" style="30" customWidth="1"/>
    <col min="12" max="12" width="17" style="30" bestFit="1" customWidth="1"/>
    <col min="13" max="13" width="35.28515625" style="30" bestFit="1" customWidth="1"/>
    <col min="14" max="14" width="20.42578125" style="30" bestFit="1" customWidth="1"/>
    <col min="15" max="16384" width="11.42578125" style="30"/>
  </cols>
  <sheetData>
    <row r="1" spans="1:14" x14ac:dyDescent="0.25">
      <c r="A1" s="67" t="s">
        <v>1011</v>
      </c>
      <c r="B1" s="30" t="s" vm="1">
        <v>1052</v>
      </c>
      <c r="H1" s="67" t="s">
        <v>1011</v>
      </c>
      <c r="I1" s="30" t="s" vm="1">
        <v>1052</v>
      </c>
      <c r="M1" s="67" t="s">
        <v>1011</v>
      </c>
      <c r="N1" s="30" t="s">
        <v>1052</v>
      </c>
    </row>
    <row r="3" spans="1:14" x14ac:dyDescent="0.25">
      <c r="A3" s="67" t="s">
        <v>1039</v>
      </c>
      <c r="B3" s="30" t="s">
        <v>1051</v>
      </c>
      <c r="H3" s="67" t="s">
        <v>1039</v>
      </c>
      <c r="I3" s="30" t="s">
        <v>1051</v>
      </c>
      <c r="M3" s="67" t="s">
        <v>1039</v>
      </c>
      <c r="N3" s="30" t="s">
        <v>1061</v>
      </c>
    </row>
    <row r="4" spans="1:14" x14ac:dyDescent="0.25">
      <c r="A4" s="68" t="s">
        <v>1040</v>
      </c>
      <c r="B4" s="69">
        <v>54000.9</v>
      </c>
      <c r="H4" s="30" t="s">
        <v>984</v>
      </c>
      <c r="I4" s="70">
        <v>36000.600000000006</v>
      </c>
      <c r="J4" s="70"/>
      <c r="K4" s="70"/>
      <c r="M4" s="68" t="s">
        <v>984</v>
      </c>
      <c r="N4" s="71">
        <v>3</v>
      </c>
    </row>
    <row r="5" spans="1:14" x14ac:dyDescent="0.25">
      <c r="A5" s="68" t="s">
        <v>1041</v>
      </c>
      <c r="B5" s="69">
        <v>36000.600000000006</v>
      </c>
      <c r="H5" s="30" t="s">
        <v>982</v>
      </c>
      <c r="I5" s="70">
        <v>22000.48</v>
      </c>
      <c r="J5" s="70"/>
      <c r="K5" s="70"/>
      <c r="M5" s="68" t="s">
        <v>982</v>
      </c>
      <c r="N5" s="71">
        <v>2</v>
      </c>
    </row>
    <row r="6" spans="1:14" x14ac:dyDescent="0.25">
      <c r="A6" s="68" t="s">
        <v>1042</v>
      </c>
      <c r="B6" s="69">
        <v>24402</v>
      </c>
      <c r="H6" s="30" t="s">
        <v>981</v>
      </c>
      <c r="I6" s="70">
        <v>160002.79999999999</v>
      </c>
      <c r="J6" s="70"/>
      <c r="K6" s="70"/>
      <c r="M6" s="68" t="s">
        <v>981</v>
      </c>
      <c r="N6" s="71">
        <v>8</v>
      </c>
    </row>
    <row r="7" spans="1:14" x14ac:dyDescent="0.25">
      <c r="A7" s="68" t="s">
        <v>1043</v>
      </c>
      <c r="B7" s="69">
        <v>22000.48</v>
      </c>
      <c r="H7" s="30" t="s">
        <v>983</v>
      </c>
      <c r="I7" s="70">
        <v>480014.00000000006</v>
      </c>
      <c r="J7" s="70"/>
      <c r="K7" s="70"/>
      <c r="M7" s="68" t="s">
        <v>983</v>
      </c>
      <c r="N7" s="71">
        <v>20</v>
      </c>
    </row>
    <row r="8" spans="1:14" x14ac:dyDescent="0.25">
      <c r="A8" s="68" t="s">
        <v>1044</v>
      </c>
      <c r="B8" s="69">
        <v>225002.25</v>
      </c>
      <c r="H8" s="30" t="s">
        <v>980</v>
      </c>
      <c r="I8" s="70">
        <v>24402</v>
      </c>
      <c r="J8" s="70"/>
      <c r="K8" s="70"/>
      <c r="M8" s="68" t="s">
        <v>980</v>
      </c>
      <c r="N8" s="71">
        <v>4</v>
      </c>
    </row>
    <row r="9" spans="1:14" x14ac:dyDescent="0.25">
      <c r="A9" s="68" t="s">
        <v>1045</v>
      </c>
      <c r="B9" s="69">
        <v>160002.79999999999</v>
      </c>
      <c r="H9" s="30" t="s">
        <v>977</v>
      </c>
      <c r="I9" s="70">
        <v>225002.25</v>
      </c>
      <c r="J9" s="70"/>
      <c r="K9" s="70"/>
      <c r="M9" s="68" t="s">
        <v>977</v>
      </c>
      <c r="N9" s="71">
        <v>15</v>
      </c>
    </row>
    <row r="10" spans="1:14" x14ac:dyDescent="0.25">
      <c r="A10" s="68" t="s">
        <v>1046</v>
      </c>
      <c r="B10" s="69">
        <v>24401.200000000001</v>
      </c>
      <c r="H10" s="30" t="s">
        <v>979</v>
      </c>
      <c r="I10" s="70">
        <v>54000.9</v>
      </c>
      <c r="J10" s="70"/>
      <c r="K10" s="70"/>
      <c r="M10" s="68" t="s">
        <v>979</v>
      </c>
      <c r="N10" s="71">
        <v>9</v>
      </c>
    </row>
    <row r="11" spans="1:14" x14ac:dyDescent="0.25">
      <c r="A11" s="68" t="s">
        <v>1047</v>
      </c>
      <c r="B11" s="69">
        <v>24002</v>
      </c>
      <c r="H11" s="30" t="s">
        <v>976</v>
      </c>
      <c r="I11" s="70">
        <v>24401.200000000001</v>
      </c>
      <c r="J11" s="70"/>
      <c r="K11" s="70"/>
      <c r="M11" s="68" t="s">
        <v>976</v>
      </c>
      <c r="N11" s="71">
        <v>2</v>
      </c>
    </row>
    <row r="12" spans="1:14" x14ac:dyDescent="0.25">
      <c r="A12" s="68" t="s">
        <v>1048</v>
      </c>
      <c r="B12" s="69">
        <v>192007.20000000004</v>
      </c>
      <c r="H12" s="30" t="s">
        <v>978</v>
      </c>
      <c r="I12" s="70">
        <v>24002</v>
      </c>
      <c r="J12" s="70"/>
      <c r="K12" s="70"/>
      <c r="M12" s="68" t="s">
        <v>978</v>
      </c>
      <c r="N12" s="71">
        <v>4</v>
      </c>
    </row>
    <row r="13" spans="1:14" x14ac:dyDescent="0.25">
      <c r="A13" s="68" t="s">
        <v>1049</v>
      </c>
      <c r="B13" s="69">
        <v>480014.00000000006</v>
      </c>
      <c r="H13" s="30" t="s">
        <v>975</v>
      </c>
      <c r="I13" s="70">
        <v>192007.20000000004</v>
      </c>
      <c r="J13" s="70"/>
      <c r="K13" s="70"/>
      <c r="M13" s="68" t="s">
        <v>975</v>
      </c>
      <c r="N13" s="71">
        <v>16</v>
      </c>
    </row>
    <row r="14" spans="1:14" x14ac:dyDescent="0.25">
      <c r="A14" s="68" t="s">
        <v>1050</v>
      </c>
      <c r="B14" s="69">
        <v>1241833.4300000002</v>
      </c>
      <c r="H14" s="30" t="s">
        <v>1050</v>
      </c>
      <c r="I14" s="70">
        <v>1241833.4300000002</v>
      </c>
      <c r="J14" s="70"/>
      <c r="K14" s="70"/>
      <c r="M14" s="68" t="s">
        <v>1050</v>
      </c>
      <c r="N14" s="71">
        <v>83</v>
      </c>
    </row>
  </sheetData>
  <sheetProtection algorithmName="SHA-512" hashValue="AACtM5yd3o+dVe4gWLUMnSNKoMxHyrbN66M02gFUlD6X8Z5QB8GWYjR+Cmt0cSmm062/4jJmdIjehlYQvdmEXw==" saltValue="idP+YsVuSj9GYxqtjBv/Jg==" spinCount="100000" sheet="1" objects="1" scenarios="1"/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8A926-1A2C-43FF-92BD-3A0939A0B4F9}">
  <sheetPr codeName="Hoja5"/>
  <dimension ref="B1:W83"/>
  <sheetViews>
    <sheetView view="pageBreakPreview" topLeftCell="H73" zoomScaleNormal="100" zoomScaleSheetLayoutView="100" workbookViewId="0">
      <selection activeCell="B82" sqref="B82"/>
    </sheetView>
  </sheetViews>
  <sheetFormatPr baseColWidth="10" defaultRowHeight="15" x14ac:dyDescent="0.25"/>
  <cols>
    <col min="1" max="2" width="11.42578125" style="30"/>
    <col min="3" max="3" width="35.28515625" style="30" bestFit="1" customWidth="1"/>
    <col min="4" max="4" width="18" style="30" customWidth="1"/>
    <col min="5" max="5" width="13.42578125" style="30" bestFit="1" customWidth="1"/>
    <col min="6" max="6" width="13" style="30" bestFit="1" customWidth="1"/>
    <col min="7" max="7" width="11.42578125" style="30"/>
    <col min="8" max="8" width="17.28515625" style="30" bestFit="1" customWidth="1"/>
    <col min="9" max="9" width="22.28515625" style="30" bestFit="1" customWidth="1"/>
    <col min="10" max="11" width="11.42578125" style="30"/>
    <col min="12" max="12" width="15.5703125" style="30" bestFit="1" customWidth="1"/>
    <col min="13" max="13" width="35.28515625" style="30" bestFit="1" customWidth="1"/>
    <col min="14" max="14" width="18" style="30" bestFit="1" customWidth="1"/>
    <col min="15" max="15" width="17.42578125" style="30" customWidth="1"/>
    <col min="16" max="16384" width="11.42578125" style="30"/>
  </cols>
  <sheetData>
    <row r="1" spans="2:23" x14ac:dyDescent="0.25">
      <c r="B1" s="49"/>
    </row>
    <row r="2" spans="2:23" x14ac:dyDescent="0.25">
      <c r="L2" s="80" t="s">
        <v>1031</v>
      </c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</row>
    <row r="3" spans="2:23" x14ac:dyDescent="0.25">
      <c r="B3" s="50" t="s">
        <v>1025</v>
      </c>
      <c r="C3" s="51" t="s">
        <v>1</v>
      </c>
      <c r="D3" s="51" t="s">
        <v>8</v>
      </c>
      <c r="E3" s="51" t="s">
        <v>1009</v>
      </c>
      <c r="F3" s="51" t="s">
        <v>1010</v>
      </c>
      <c r="G3" s="51" t="s">
        <v>1011</v>
      </c>
      <c r="H3" s="51" t="s">
        <v>1026</v>
      </c>
      <c r="I3" s="52" t="s">
        <v>1023</v>
      </c>
    </row>
    <row r="4" spans="2:23" x14ac:dyDescent="0.25">
      <c r="B4" s="53" t="s">
        <v>965</v>
      </c>
      <c r="C4" s="54" t="s">
        <v>975</v>
      </c>
      <c r="D4" s="55">
        <v>12000.45</v>
      </c>
      <c r="E4" s="54">
        <v>2</v>
      </c>
      <c r="F4" s="63">
        <f>Productos5[[#This Row],[Valor unitario]]*Productos5[[#This Row],[Cantidad]]</f>
        <v>24000.9</v>
      </c>
      <c r="G4" s="54" t="s">
        <v>1012</v>
      </c>
      <c r="H4" s="54">
        <v>10997554</v>
      </c>
      <c r="I4" s="65" t="str">
        <f>CONCATENATE(VLOOKUP(Productos5[[#This Row],[CC.VendedorV]],Vendedores[],2,FALSE)," ", VLOOKUP(Productos5[[#This Row],[CC.VendedorV]],Vendedores[],3,FALSE))</f>
        <v>Sandra Perea</v>
      </c>
      <c r="M4" s="80" t="s">
        <v>1032</v>
      </c>
      <c r="N4" s="80"/>
      <c r="O4" s="80"/>
    </row>
    <row r="5" spans="2:23" x14ac:dyDescent="0.25">
      <c r="B5" s="53" t="s">
        <v>966</v>
      </c>
      <c r="C5" s="54" t="s">
        <v>976</v>
      </c>
      <c r="D5" s="55">
        <v>12200.6</v>
      </c>
      <c r="E5" s="54">
        <v>4</v>
      </c>
      <c r="F5" s="63">
        <f>Productos5[[#This Row],[Valor unitario]]*Productos5[[#This Row],[Cantidad]]</f>
        <v>48802.400000000001</v>
      </c>
      <c r="G5" s="54" t="s">
        <v>1013</v>
      </c>
      <c r="H5" s="54">
        <v>10927346</v>
      </c>
      <c r="I5" s="65" t="str">
        <f>CONCATENATE(VLOOKUP(Productos5[[#This Row],[CC.VendedorV]],Vendedores[],2,FALSE)," ", VLOOKUP(Productos5[[#This Row],[CC.VendedorV]],Vendedores[],3,FALSE))</f>
        <v>Pedro Bedoya</v>
      </c>
    </row>
    <row r="6" spans="2:23" x14ac:dyDescent="0.25">
      <c r="B6" s="53" t="s">
        <v>967</v>
      </c>
      <c r="C6" s="54" t="s">
        <v>977</v>
      </c>
      <c r="D6" s="55">
        <v>15000.15</v>
      </c>
      <c r="E6" s="54">
        <v>7</v>
      </c>
      <c r="F6" s="63">
        <f>Productos5[[#This Row],[Valor unitario]]*Productos5[[#This Row],[Cantidad]]</f>
        <v>105001.05</v>
      </c>
      <c r="G6" s="54" t="s">
        <v>178</v>
      </c>
      <c r="H6" s="54">
        <v>10973306</v>
      </c>
      <c r="I6" s="65" t="str">
        <f>CONCATENATE(VLOOKUP(Productos5[[#This Row],[CC.VendedorV]],Vendedores[],2,FALSE)," ", VLOOKUP(Productos5[[#This Row],[CC.VendedorV]],Vendedores[],3,FALSE))</f>
        <v>Juan Tamaríz</v>
      </c>
      <c r="L6" s="56" t="s">
        <v>1024</v>
      </c>
      <c r="M6" s="56" t="s">
        <v>1027</v>
      </c>
      <c r="N6" s="56" t="s">
        <v>1038</v>
      </c>
    </row>
    <row r="7" spans="2:23" x14ac:dyDescent="0.25">
      <c r="B7" s="53" t="s">
        <v>968</v>
      </c>
      <c r="C7" s="54" t="s">
        <v>978</v>
      </c>
      <c r="D7" s="55">
        <v>6000.5</v>
      </c>
      <c r="E7" s="54">
        <v>4</v>
      </c>
      <c r="F7" s="63">
        <f>Productos5[[#This Row],[Valor unitario]]*Productos5[[#This Row],[Cantidad]]</f>
        <v>24002</v>
      </c>
      <c r="G7" s="54" t="s">
        <v>1014</v>
      </c>
      <c r="H7" s="54">
        <v>10927261</v>
      </c>
      <c r="I7" s="65" t="str">
        <f>CONCATENATE(VLOOKUP(Productos5[[#This Row],[CC.VendedorV]],Vendedores[],2,FALSE)," ", VLOOKUP(Productos5[[#This Row],[CC.VendedorV]],Vendedores[],3,FALSE))</f>
        <v>Raúl Velazco</v>
      </c>
      <c r="L7" s="54" t="s">
        <v>1019</v>
      </c>
      <c r="M7" s="61">
        <f t="shared" ref="M7:M18" si="0">SUMIF(mes,L7,Cantidad)</f>
        <v>37</v>
      </c>
      <c r="N7" s="62">
        <f t="shared" ref="N7:N18" si="1">SUMIF(mes,L7,Total)</f>
        <v>586014.30000000005</v>
      </c>
    </row>
    <row r="8" spans="2:23" x14ac:dyDescent="0.25">
      <c r="B8" s="53" t="s">
        <v>969</v>
      </c>
      <c r="C8" s="54" t="s">
        <v>979</v>
      </c>
      <c r="D8" s="55">
        <v>6000.1</v>
      </c>
      <c r="E8" s="54">
        <v>1</v>
      </c>
      <c r="F8" s="63">
        <f>Productos5[[#This Row],[Valor unitario]]*Productos5[[#This Row],[Cantidad]]</f>
        <v>6000.1</v>
      </c>
      <c r="G8" s="54" t="s">
        <v>1015</v>
      </c>
      <c r="H8" s="54">
        <v>10986797</v>
      </c>
      <c r="I8" s="65" t="str">
        <f>CONCATENATE(VLOOKUP(Productos5[[#This Row],[CC.VendedorV]],Vendedores[],2,FALSE)," ", VLOOKUP(Productos5[[#This Row],[CC.VendedorV]],Vendedores[],3,FALSE))</f>
        <v>Antonio Pérez</v>
      </c>
      <c r="L8" s="54" t="s">
        <v>1020</v>
      </c>
      <c r="M8" s="61">
        <f t="shared" si="0"/>
        <v>15</v>
      </c>
      <c r="N8" s="62">
        <f t="shared" si="1"/>
        <v>130806.28</v>
      </c>
    </row>
    <row r="9" spans="2:23" x14ac:dyDescent="0.25">
      <c r="B9" s="53" t="s">
        <v>970</v>
      </c>
      <c r="C9" s="54" t="s">
        <v>980</v>
      </c>
      <c r="D9" s="55">
        <v>6100.5</v>
      </c>
      <c r="E9" s="54">
        <v>4</v>
      </c>
      <c r="F9" s="63">
        <f>Productos5[[#This Row],[Valor unitario]]*Productos5[[#This Row],[Cantidad]]</f>
        <v>24402</v>
      </c>
      <c r="G9" s="54" t="s">
        <v>1016</v>
      </c>
      <c r="H9" s="54">
        <v>10963232</v>
      </c>
      <c r="I9" s="65" t="str">
        <f>CONCATENATE(VLOOKUP(Productos5[[#This Row],[CC.VendedorV]],Vendedores[],2,FALSE)," ", VLOOKUP(Productos5[[#This Row],[CC.VendedorV]],Vendedores[],3,FALSE))</f>
        <v>Carlos Ramírez</v>
      </c>
      <c r="L9" s="54" t="s">
        <v>1021</v>
      </c>
      <c r="M9" s="61">
        <f t="shared" si="0"/>
        <v>31</v>
      </c>
      <c r="N9" s="62">
        <f t="shared" si="1"/>
        <v>525012.85</v>
      </c>
    </row>
    <row r="10" spans="2:23" x14ac:dyDescent="0.25">
      <c r="B10" s="53" t="s">
        <v>971</v>
      </c>
      <c r="C10" s="54" t="s">
        <v>981</v>
      </c>
      <c r="D10" s="55">
        <v>20000.349999999999</v>
      </c>
      <c r="E10" s="54">
        <v>9</v>
      </c>
      <c r="F10" s="63">
        <f>Productos5[[#This Row],[Valor unitario]]*Productos5[[#This Row],[Cantidad]]</f>
        <v>180003.15</v>
      </c>
      <c r="G10" s="54" t="s">
        <v>1017</v>
      </c>
      <c r="H10" s="54">
        <v>10951775</v>
      </c>
      <c r="I10" s="65" t="str">
        <f>CONCATENATE(VLOOKUP(Productos5[[#This Row],[CC.VendedorV]],Vendedores[],2,FALSE)," ", VLOOKUP(Productos5[[#This Row],[CC.VendedorV]],Vendedores[],3,FALSE))</f>
        <v>María López</v>
      </c>
      <c r="L10" s="54" t="s">
        <v>1022</v>
      </c>
      <c r="M10" s="61">
        <f t="shared" si="0"/>
        <v>39</v>
      </c>
      <c r="N10" s="62">
        <f t="shared" si="1"/>
        <v>401017.70000000007</v>
      </c>
    </row>
    <row r="11" spans="2:23" x14ac:dyDescent="0.25">
      <c r="B11" s="53" t="s">
        <v>972</v>
      </c>
      <c r="C11" s="54" t="s">
        <v>982</v>
      </c>
      <c r="D11" s="55">
        <v>11000.24</v>
      </c>
      <c r="E11" s="54">
        <v>3</v>
      </c>
      <c r="F11" s="63">
        <f>Productos5[[#This Row],[Valor unitario]]*Productos5[[#This Row],[Cantidad]]</f>
        <v>33000.720000000001</v>
      </c>
      <c r="G11" s="54" t="s">
        <v>1018</v>
      </c>
      <c r="H11" s="54">
        <v>10950576</v>
      </c>
      <c r="I11" s="65" t="str">
        <f>CONCATENATE(VLOOKUP(Productos5[[#This Row],[CC.VendedorV]],Vendedores[],2,FALSE)," ", VLOOKUP(Productos5[[#This Row],[CC.VendedorV]],Vendedores[],3,FALSE))</f>
        <v>Claudia Gómez</v>
      </c>
      <c r="L11" s="54" t="s">
        <v>1012</v>
      </c>
      <c r="M11" s="61">
        <f t="shared" si="0"/>
        <v>27</v>
      </c>
      <c r="N11" s="62">
        <f t="shared" si="1"/>
        <v>395007.9</v>
      </c>
    </row>
    <row r="12" spans="2:23" x14ac:dyDescent="0.25">
      <c r="B12" s="53" t="s">
        <v>973</v>
      </c>
      <c r="C12" s="54" t="s">
        <v>983</v>
      </c>
      <c r="D12" s="55">
        <v>24000.7</v>
      </c>
      <c r="E12" s="54">
        <v>5</v>
      </c>
      <c r="F12" s="63">
        <f>Productos5[[#This Row],[Valor unitario]]*Productos5[[#This Row],[Cantidad]]</f>
        <v>120003.5</v>
      </c>
      <c r="G12" s="54" t="s">
        <v>1019</v>
      </c>
      <c r="H12" s="54">
        <v>10980436</v>
      </c>
      <c r="I12" s="65" t="str">
        <f>CONCATENATE(VLOOKUP(Productos5[[#This Row],[CC.VendedorV]],Vendedores[],2,FALSE)," ", VLOOKUP(Productos5[[#This Row],[CC.VendedorV]],Vendedores[],3,FALSE))</f>
        <v>Stella Trois</v>
      </c>
      <c r="L12" s="54" t="s">
        <v>1013</v>
      </c>
      <c r="M12" s="61">
        <f t="shared" si="0"/>
        <v>51</v>
      </c>
      <c r="N12" s="62">
        <f t="shared" si="1"/>
        <v>467823.1</v>
      </c>
    </row>
    <row r="13" spans="2:23" x14ac:dyDescent="0.25">
      <c r="B13" s="53" t="s">
        <v>974</v>
      </c>
      <c r="C13" s="54" t="s">
        <v>984</v>
      </c>
      <c r="D13" s="55">
        <v>12000.2</v>
      </c>
      <c r="E13" s="54">
        <v>2</v>
      </c>
      <c r="F13" s="63">
        <f>Productos5[[#This Row],[Valor unitario]]*Productos5[[#This Row],[Cantidad]]</f>
        <v>24000.400000000001</v>
      </c>
      <c r="G13" s="54" t="s">
        <v>1020</v>
      </c>
      <c r="H13" s="54">
        <v>10985229</v>
      </c>
      <c r="I13" s="65" t="str">
        <f>CONCATENATE(VLOOKUP(Productos5[[#This Row],[CC.VendedorV]],Vendedores[],2,FALSE)," ", VLOOKUP(Productos5[[#This Row],[CC.VendedorV]],Vendedores[],3,FALSE))</f>
        <v>Carlos González</v>
      </c>
      <c r="L13" s="54" t="s">
        <v>178</v>
      </c>
      <c r="M13" s="61">
        <f t="shared" si="0"/>
        <v>37</v>
      </c>
      <c r="N13" s="62">
        <f t="shared" si="1"/>
        <v>474008.69999999995</v>
      </c>
    </row>
    <row r="14" spans="2:23" x14ac:dyDescent="0.25">
      <c r="B14" s="53" t="s">
        <v>965</v>
      </c>
      <c r="C14" s="54" t="s">
        <v>975</v>
      </c>
      <c r="D14" s="55">
        <v>12000.45</v>
      </c>
      <c r="E14" s="54">
        <v>6</v>
      </c>
      <c r="F14" s="63">
        <f>Productos5[[#This Row],[Valor unitario]]*Productos5[[#This Row],[Cantidad]]</f>
        <v>72002.700000000012</v>
      </c>
      <c r="G14" s="54" t="s">
        <v>1021</v>
      </c>
      <c r="H14" s="54">
        <v>10997554</v>
      </c>
      <c r="I14" s="65" t="str">
        <f>CONCATENATE(VLOOKUP(Productos5[[#This Row],[CC.VendedorV]],Vendedores[],2,FALSE)," ", VLOOKUP(Productos5[[#This Row],[CC.VendedorV]],Vendedores[],3,FALSE))</f>
        <v>Sandra Perea</v>
      </c>
      <c r="L14" s="54" t="s">
        <v>1014</v>
      </c>
      <c r="M14" s="61">
        <f t="shared" si="0"/>
        <v>37</v>
      </c>
      <c r="N14" s="62">
        <f t="shared" si="1"/>
        <v>316915.36000000004</v>
      </c>
    </row>
    <row r="15" spans="2:23" x14ac:dyDescent="0.25">
      <c r="B15" s="53" t="s">
        <v>966</v>
      </c>
      <c r="C15" s="54" t="s">
        <v>976</v>
      </c>
      <c r="D15" s="55">
        <v>12200.6</v>
      </c>
      <c r="E15" s="54">
        <v>7</v>
      </c>
      <c r="F15" s="63">
        <f>Productos5[[#This Row],[Valor unitario]]*Productos5[[#This Row],[Cantidad]]</f>
        <v>85404.2</v>
      </c>
      <c r="G15" s="54" t="s">
        <v>1022</v>
      </c>
      <c r="H15" s="54">
        <v>10927346</v>
      </c>
      <c r="I15" s="65" t="str">
        <f>CONCATENATE(VLOOKUP(Productos5[[#This Row],[CC.VendedorV]],Vendedores[],2,FALSE)," ", VLOOKUP(Productos5[[#This Row],[CC.VendedorV]],Vendedores[],3,FALSE))</f>
        <v>Pedro Bedoya</v>
      </c>
      <c r="L15" s="54" t="s">
        <v>1015</v>
      </c>
      <c r="M15" s="61">
        <f t="shared" si="0"/>
        <v>36</v>
      </c>
      <c r="N15" s="62">
        <f t="shared" si="1"/>
        <v>627012.10000000009</v>
      </c>
    </row>
    <row r="16" spans="2:23" x14ac:dyDescent="0.25">
      <c r="B16" s="53" t="s">
        <v>967</v>
      </c>
      <c r="C16" s="54" t="s">
        <v>977</v>
      </c>
      <c r="D16" s="55">
        <v>15000.15</v>
      </c>
      <c r="E16" s="54">
        <v>1</v>
      </c>
      <c r="F16" s="63">
        <f>Productos5[[#This Row],[Valor unitario]]*Productos5[[#This Row],[Cantidad]]</f>
        <v>15000.15</v>
      </c>
      <c r="G16" s="54" t="s">
        <v>1012</v>
      </c>
      <c r="H16" s="54">
        <v>10973306</v>
      </c>
      <c r="I16" s="65" t="str">
        <f>CONCATENATE(VLOOKUP(Productos5[[#This Row],[CC.VendedorV]],Vendedores[],2,FALSE)," ", VLOOKUP(Productos5[[#This Row],[CC.VendedorV]],Vendedores[],3,FALSE))</f>
        <v>Juan Tamaríz</v>
      </c>
      <c r="L16" s="54" t="s">
        <v>1016</v>
      </c>
      <c r="M16" s="61">
        <f t="shared" si="0"/>
        <v>45</v>
      </c>
      <c r="N16" s="62">
        <f t="shared" si="1"/>
        <v>388817.3</v>
      </c>
    </row>
    <row r="17" spans="2:15" x14ac:dyDescent="0.25">
      <c r="B17" s="53" t="s">
        <v>968</v>
      </c>
      <c r="C17" s="54" t="s">
        <v>978</v>
      </c>
      <c r="D17" s="55">
        <v>6000.5</v>
      </c>
      <c r="E17" s="54">
        <v>6</v>
      </c>
      <c r="F17" s="63">
        <f>Productos5[[#This Row],[Valor unitario]]*Productos5[[#This Row],[Cantidad]]</f>
        <v>36003</v>
      </c>
      <c r="G17" s="54" t="s">
        <v>1013</v>
      </c>
      <c r="H17" s="54">
        <v>10927261</v>
      </c>
      <c r="I17" s="65" t="str">
        <f>CONCATENATE(VLOOKUP(Productos5[[#This Row],[CC.VendedorV]],Vendedores[],2,FALSE)," ", VLOOKUP(Productos5[[#This Row],[CC.VendedorV]],Vendedores[],3,FALSE))</f>
        <v>Raúl Velazco</v>
      </c>
      <c r="L17" s="54" t="s">
        <v>1017</v>
      </c>
      <c r="M17" s="61">
        <f t="shared" si="0"/>
        <v>45</v>
      </c>
      <c r="N17" s="62">
        <f t="shared" si="1"/>
        <v>739017.25</v>
      </c>
    </row>
    <row r="18" spans="2:15" x14ac:dyDescent="0.25">
      <c r="B18" s="53" t="s">
        <v>969</v>
      </c>
      <c r="C18" s="54" t="s">
        <v>979</v>
      </c>
      <c r="D18" s="55">
        <v>6000.1</v>
      </c>
      <c r="E18" s="54">
        <v>5</v>
      </c>
      <c r="F18" s="63">
        <f>Productos5[[#This Row],[Valor unitario]]*Productos5[[#This Row],[Cantidad]]</f>
        <v>30000.5</v>
      </c>
      <c r="G18" s="54" t="s">
        <v>178</v>
      </c>
      <c r="H18" s="54">
        <v>10986797</v>
      </c>
      <c r="I18" s="65" t="str">
        <f>CONCATENATE(VLOOKUP(Productos5[[#This Row],[CC.VendedorV]],Vendedores[],2,FALSE)," ", VLOOKUP(Productos5[[#This Row],[CC.VendedorV]],Vendedores[],3,FALSE))</f>
        <v>Antonio Pérez</v>
      </c>
      <c r="L18" s="54" t="s">
        <v>1018</v>
      </c>
      <c r="M18" s="61">
        <f t="shared" si="0"/>
        <v>33</v>
      </c>
      <c r="N18" s="62">
        <f t="shared" si="1"/>
        <v>303013.70000000007</v>
      </c>
    </row>
    <row r="19" spans="2:15" x14ac:dyDescent="0.25">
      <c r="B19" s="53" t="s">
        <v>970</v>
      </c>
      <c r="C19" s="54" t="s">
        <v>980</v>
      </c>
      <c r="D19" s="55">
        <v>6100.5</v>
      </c>
      <c r="E19" s="54">
        <v>8</v>
      </c>
      <c r="F19" s="63">
        <f>Productos5[[#This Row],[Valor unitario]]*Productos5[[#This Row],[Cantidad]]</f>
        <v>48804</v>
      </c>
      <c r="G19" s="54" t="s">
        <v>1014</v>
      </c>
      <c r="H19" s="54">
        <v>10963232</v>
      </c>
      <c r="I19" s="65" t="str">
        <f>CONCATENATE(VLOOKUP(Productos5[[#This Row],[CC.VendedorV]],Vendedores[],2,FALSE)," ", VLOOKUP(Productos5[[#This Row],[CC.VendedorV]],Vendedores[],3,FALSE))</f>
        <v>Carlos Ramírez</v>
      </c>
      <c r="L19" s="35"/>
      <c r="M19" s="35"/>
      <c r="N19" s="57"/>
    </row>
    <row r="20" spans="2:15" x14ac:dyDescent="0.25">
      <c r="B20" s="53" t="s">
        <v>971</v>
      </c>
      <c r="C20" s="54" t="s">
        <v>981</v>
      </c>
      <c r="D20" s="55">
        <v>20000.349999999999</v>
      </c>
      <c r="E20" s="54">
        <v>10</v>
      </c>
      <c r="F20" s="63">
        <f>Productos5[[#This Row],[Valor unitario]]*Productos5[[#This Row],[Cantidad]]</f>
        <v>200003.5</v>
      </c>
      <c r="G20" s="54" t="s">
        <v>1015</v>
      </c>
      <c r="H20" s="54">
        <v>10951775</v>
      </c>
      <c r="I20" s="65" t="str">
        <f>CONCATENATE(VLOOKUP(Productos5[[#This Row],[CC.VendedorV]],Vendedores[],2,FALSE)," ", VLOOKUP(Productos5[[#This Row],[CC.VendedorV]],Vendedores[],3,FALSE))</f>
        <v>María López</v>
      </c>
      <c r="L20" s="35"/>
      <c r="M20" s="35"/>
      <c r="N20" s="57"/>
    </row>
    <row r="21" spans="2:15" x14ac:dyDescent="0.25">
      <c r="B21" s="53" t="s">
        <v>972</v>
      </c>
      <c r="C21" s="54" t="s">
        <v>982</v>
      </c>
      <c r="D21" s="55">
        <v>11000.24</v>
      </c>
      <c r="E21" s="54">
        <v>7</v>
      </c>
      <c r="F21" s="63">
        <f>Productos5[[#This Row],[Valor unitario]]*Productos5[[#This Row],[Cantidad]]</f>
        <v>77001.679999999993</v>
      </c>
      <c r="G21" s="54" t="s">
        <v>1016</v>
      </c>
      <c r="H21" s="54">
        <v>10950576</v>
      </c>
      <c r="I21" s="65" t="str">
        <f>CONCATENATE(VLOOKUP(Productos5[[#This Row],[CC.VendedorV]],Vendedores[],2,FALSE)," ", VLOOKUP(Productos5[[#This Row],[CC.VendedorV]],Vendedores[],3,FALSE))</f>
        <v>Claudia Gómez</v>
      </c>
      <c r="L21" s="35"/>
      <c r="M21" s="35"/>
      <c r="N21" s="57"/>
    </row>
    <row r="22" spans="2:15" x14ac:dyDescent="0.25">
      <c r="B22" s="53" t="s">
        <v>973</v>
      </c>
      <c r="C22" s="54" t="s">
        <v>983</v>
      </c>
      <c r="D22" s="55">
        <v>24000.7</v>
      </c>
      <c r="E22" s="54">
        <v>6</v>
      </c>
      <c r="F22" s="63">
        <f>Productos5[[#This Row],[Valor unitario]]*Productos5[[#This Row],[Cantidad]]</f>
        <v>144004.20000000001</v>
      </c>
      <c r="G22" s="54" t="s">
        <v>1017</v>
      </c>
      <c r="H22" s="54">
        <v>10980436</v>
      </c>
      <c r="I22" s="65" t="str">
        <f>CONCATENATE(VLOOKUP(Productos5[[#This Row],[CC.VendedorV]],Vendedores[],2,FALSE)," ", VLOOKUP(Productos5[[#This Row],[CC.VendedorV]],Vendedores[],3,FALSE))</f>
        <v>Stella Trois</v>
      </c>
      <c r="L22" s="35"/>
      <c r="M22" s="35"/>
      <c r="N22" s="57"/>
    </row>
    <row r="23" spans="2:15" x14ac:dyDescent="0.25">
      <c r="B23" s="53" t="s">
        <v>974</v>
      </c>
      <c r="C23" s="54" t="s">
        <v>984</v>
      </c>
      <c r="D23" s="55">
        <v>12000.2</v>
      </c>
      <c r="E23" s="54">
        <v>1</v>
      </c>
      <c r="F23" s="63">
        <f>Productos5[[#This Row],[Valor unitario]]*Productos5[[#This Row],[Cantidad]]</f>
        <v>12000.2</v>
      </c>
      <c r="G23" s="54" t="s">
        <v>1018</v>
      </c>
      <c r="H23" s="54">
        <v>10985229</v>
      </c>
      <c r="I23" s="65" t="str">
        <f>CONCATENATE(VLOOKUP(Productos5[[#This Row],[CC.VendedorV]],Vendedores[],2,FALSE)," ", VLOOKUP(Productos5[[#This Row],[CC.VendedorV]],Vendedores[],3,FALSE))</f>
        <v>Carlos González</v>
      </c>
      <c r="L23" s="35"/>
      <c r="M23" s="35"/>
      <c r="N23" s="57"/>
    </row>
    <row r="24" spans="2:15" x14ac:dyDescent="0.25">
      <c r="B24" s="53" t="s">
        <v>965</v>
      </c>
      <c r="C24" s="54" t="s">
        <v>975</v>
      </c>
      <c r="D24" s="55">
        <v>12000.45</v>
      </c>
      <c r="E24" s="54">
        <v>7</v>
      </c>
      <c r="F24" s="63">
        <f>Productos5[[#This Row],[Valor unitario]]*Productos5[[#This Row],[Cantidad]]</f>
        <v>84003.150000000009</v>
      </c>
      <c r="G24" s="54" t="s">
        <v>1019</v>
      </c>
      <c r="H24" s="54">
        <v>10997554</v>
      </c>
      <c r="I24" s="65" t="str">
        <f>CONCATENATE(VLOOKUP(Productos5[[#This Row],[CC.VendedorV]],Vendedores[],2,FALSE)," ", VLOOKUP(Productos5[[#This Row],[CC.VendedorV]],Vendedores[],3,FALSE))</f>
        <v>Sandra Perea</v>
      </c>
      <c r="L24" s="35"/>
      <c r="M24" s="35"/>
      <c r="N24" s="57"/>
    </row>
    <row r="25" spans="2:15" x14ac:dyDescent="0.25">
      <c r="B25" s="53" t="s">
        <v>966</v>
      </c>
      <c r="C25" s="54" t="s">
        <v>976</v>
      </c>
      <c r="D25" s="55">
        <v>12200.6</v>
      </c>
      <c r="E25" s="54">
        <v>2</v>
      </c>
      <c r="F25" s="63">
        <f>Productos5[[#This Row],[Valor unitario]]*Productos5[[#This Row],[Cantidad]]</f>
        <v>24401.200000000001</v>
      </c>
      <c r="G25" s="54" t="s">
        <v>1020</v>
      </c>
      <c r="H25" s="54">
        <v>10927346</v>
      </c>
      <c r="I25" s="65" t="str">
        <f>CONCATENATE(VLOOKUP(Productos5[[#This Row],[CC.VendedorV]],Vendedores[],2,FALSE)," ", VLOOKUP(Productos5[[#This Row],[CC.VendedorV]],Vendedores[],3,FALSE))</f>
        <v>Pedro Bedoya</v>
      </c>
      <c r="L25" s="35"/>
      <c r="M25" s="35"/>
      <c r="N25" s="57"/>
    </row>
    <row r="26" spans="2:15" x14ac:dyDescent="0.25">
      <c r="B26" s="53" t="s">
        <v>967</v>
      </c>
      <c r="C26" s="54" t="s">
        <v>977</v>
      </c>
      <c r="D26" s="55">
        <v>15000.15</v>
      </c>
      <c r="E26" s="54">
        <v>9</v>
      </c>
      <c r="F26" s="63">
        <f>Productos5[[#This Row],[Valor unitario]]*Productos5[[#This Row],[Cantidad]]</f>
        <v>135001.35</v>
      </c>
      <c r="G26" s="54" t="s">
        <v>1021</v>
      </c>
      <c r="H26" s="54">
        <v>10973306</v>
      </c>
      <c r="I26" s="65" t="str">
        <f>CONCATENATE(VLOOKUP(Productos5[[#This Row],[CC.VendedorV]],Vendedores[],2,FALSE)," ", VLOOKUP(Productos5[[#This Row],[CC.VendedorV]],Vendedores[],3,FALSE))</f>
        <v>Juan Tamaríz</v>
      </c>
      <c r="L26" s="35"/>
      <c r="M26" s="35"/>
      <c r="N26" s="57"/>
    </row>
    <row r="27" spans="2:15" x14ac:dyDescent="0.25">
      <c r="B27" s="53" t="s">
        <v>968</v>
      </c>
      <c r="C27" s="54" t="s">
        <v>978</v>
      </c>
      <c r="D27" s="55">
        <v>6000.5</v>
      </c>
      <c r="E27" s="54">
        <v>3</v>
      </c>
      <c r="F27" s="63">
        <f>Productos5[[#This Row],[Valor unitario]]*Productos5[[#This Row],[Cantidad]]</f>
        <v>18001.5</v>
      </c>
      <c r="G27" s="54" t="s">
        <v>1022</v>
      </c>
      <c r="H27" s="54">
        <v>10927261</v>
      </c>
      <c r="I27" s="65" t="str">
        <f>CONCATENATE(VLOOKUP(Productos5[[#This Row],[CC.VendedorV]],Vendedores[],2,FALSE)," ", VLOOKUP(Productos5[[#This Row],[CC.VendedorV]],Vendedores[],3,FALSE))</f>
        <v>Raúl Velazco</v>
      </c>
      <c r="L27" s="35"/>
      <c r="M27" s="81" t="s">
        <v>1033</v>
      </c>
      <c r="N27" s="81"/>
      <c r="O27" s="81"/>
    </row>
    <row r="28" spans="2:15" x14ac:dyDescent="0.25">
      <c r="B28" s="53" t="s">
        <v>969</v>
      </c>
      <c r="C28" s="54" t="s">
        <v>979</v>
      </c>
      <c r="D28" s="55">
        <v>6000.1</v>
      </c>
      <c r="E28" s="54">
        <v>3</v>
      </c>
      <c r="F28" s="63">
        <f>Productos5[[#This Row],[Valor unitario]]*Productos5[[#This Row],[Cantidad]]</f>
        <v>18000.300000000003</v>
      </c>
      <c r="G28" s="54" t="s">
        <v>1012</v>
      </c>
      <c r="H28" s="54">
        <v>10986797</v>
      </c>
      <c r="I28" s="65" t="str">
        <f>CONCATENATE(VLOOKUP(Productos5[[#This Row],[CC.VendedorV]],Vendedores[],2,FALSE)," ", VLOOKUP(Productos5[[#This Row],[CC.VendedorV]],Vendedores[],3,FALSE))</f>
        <v>Antonio Pérez</v>
      </c>
    </row>
    <row r="29" spans="2:15" x14ac:dyDescent="0.25">
      <c r="B29" s="53" t="s">
        <v>970</v>
      </c>
      <c r="C29" s="54" t="s">
        <v>980</v>
      </c>
      <c r="D29" s="55">
        <v>6100.5</v>
      </c>
      <c r="E29" s="54">
        <v>10</v>
      </c>
      <c r="F29" s="63">
        <f>Productos5[[#This Row],[Valor unitario]]*Productos5[[#This Row],[Cantidad]]</f>
        <v>61005</v>
      </c>
      <c r="G29" s="54" t="s">
        <v>1013</v>
      </c>
      <c r="H29" s="54">
        <v>10963232</v>
      </c>
      <c r="I29" s="65" t="str">
        <f>CONCATENATE(VLOOKUP(Productos5[[#This Row],[CC.VendedorV]],Vendedores[],2,FALSE)," ", VLOOKUP(Productos5[[#This Row],[CC.VendedorV]],Vendedores[],3,FALSE))</f>
        <v>Carlos Ramírez</v>
      </c>
      <c r="L29" s="56" t="s">
        <v>1028</v>
      </c>
      <c r="M29" s="56" t="s">
        <v>1029</v>
      </c>
      <c r="N29" s="56" t="s">
        <v>1030</v>
      </c>
      <c r="O29" s="56" t="s">
        <v>1037</v>
      </c>
    </row>
    <row r="30" spans="2:15" x14ac:dyDescent="0.25">
      <c r="B30" s="53" t="s">
        <v>971</v>
      </c>
      <c r="C30" s="54" t="s">
        <v>981</v>
      </c>
      <c r="D30" s="55">
        <v>20000.349999999999</v>
      </c>
      <c r="E30" s="54">
        <v>3</v>
      </c>
      <c r="F30" s="63">
        <f>Productos5[[#This Row],[Valor unitario]]*Productos5[[#This Row],[Cantidad]]</f>
        <v>60001.049999999996</v>
      </c>
      <c r="G30" s="54" t="s">
        <v>178</v>
      </c>
      <c r="H30" s="54">
        <v>10951775</v>
      </c>
      <c r="I30" s="65" t="str">
        <f>CONCATENATE(VLOOKUP(Productos5[[#This Row],[CC.VendedorV]],Vendedores[],2,FALSE)," ", VLOOKUP(Productos5[[#This Row],[CC.VendedorV]],Vendedores[],3,FALSE))</f>
        <v>María López</v>
      </c>
      <c r="L30" s="54">
        <v>10997554</v>
      </c>
      <c r="M30" s="23" t="str">
        <f>CONCATENATE(VLOOKUP(L30,Vendedores[],2,FALSE)," ",VLOOKUP(L30,Vendedores[],3,FALSE))</f>
        <v>Sandra Perea</v>
      </c>
      <c r="N30" s="61">
        <f t="shared" ref="N30:N39" si="2">SUMIF(CC.VendedorV,L30,Cantidad)</f>
        <v>37</v>
      </c>
      <c r="O30" s="62">
        <f t="shared" ref="O30:O39" si="3">SUMIF(Nombre_Vendedor,M30,Total)</f>
        <v>444016.65</v>
      </c>
    </row>
    <row r="31" spans="2:15" x14ac:dyDescent="0.25">
      <c r="B31" s="53" t="s">
        <v>972</v>
      </c>
      <c r="C31" s="54" t="s">
        <v>982</v>
      </c>
      <c r="D31" s="55">
        <v>11000.24</v>
      </c>
      <c r="E31" s="54">
        <v>9</v>
      </c>
      <c r="F31" s="63">
        <f>Productos5[[#This Row],[Valor unitario]]*Productos5[[#This Row],[Cantidad]]</f>
        <v>99002.16</v>
      </c>
      <c r="G31" s="54" t="s">
        <v>1014</v>
      </c>
      <c r="H31" s="54">
        <v>10950576</v>
      </c>
      <c r="I31" s="65" t="str">
        <f>CONCATENATE(VLOOKUP(Productos5[[#This Row],[CC.VendedorV]],Vendedores[],2,FALSE)," ", VLOOKUP(Productos5[[#This Row],[CC.VendedorV]],Vendedores[],3,FALSE))</f>
        <v>Claudia Gómez</v>
      </c>
      <c r="L31" s="54">
        <v>10927346</v>
      </c>
      <c r="M31" s="23" t="str">
        <f>CONCATENATE(VLOOKUP(L31,Vendedores[],2,FALSE)," ",VLOOKUP(L31,Vendedores[],3,FALSE))</f>
        <v>Pedro Bedoya</v>
      </c>
      <c r="N31" s="61">
        <f t="shared" si="2"/>
        <v>44</v>
      </c>
      <c r="O31" s="62">
        <f t="shared" si="3"/>
        <v>536826.4</v>
      </c>
    </row>
    <row r="32" spans="2:15" x14ac:dyDescent="0.25">
      <c r="B32" s="53" t="s">
        <v>973</v>
      </c>
      <c r="C32" s="54" t="s">
        <v>983</v>
      </c>
      <c r="D32" s="55">
        <v>24000.7</v>
      </c>
      <c r="E32" s="54">
        <v>6</v>
      </c>
      <c r="F32" s="63">
        <f>Productos5[[#This Row],[Valor unitario]]*Productos5[[#This Row],[Cantidad]]</f>
        <v>144004.20000000001</v>
      </c>
      <c r="G32" s="54" t="s">
        <v>1015</v>
      </c>
      <c r="H32" s="54">
        <v>10980436</v>
      </c>
      <c r="I32" s="65" t="str">
        <f>CONCATENATE(VLOOKUP(Productos5[[#This Row],[CC.VendedorV]],Vendedores[],2,FALSE)," ", VLOOKUP(Productos5[[#This Row],[CC.VendedorV]],Vendedores[],3,FALSE))</f>
        <v>Stella Trois</v>
      </c>
      <c r="L32" s="54">
        <v>10973306</v>
      </c>
      <c r="M32" s="23" t="str">
        <f>CONCATENATE(VLOOKUP(L32,Vendedores[],2,FALSE)," ",VLOOKUP(L32,Vendedores[],3,FALSE))</f>
        <v>Juan Tamaríz</v>
      </c>
      <c r="N32" s="61">
        <f t="shared" si="2"/>
        <v>50</v>
      </c>
      <c r="O32" s="62">
        <f t="shared" si="3"/>
        <v>750007.5</v>
      </c>
    </row>
    <row r="33" spans="2:15" x14ac:dyDescent="0.25">
      <c r="B33" s="53" t="s">
        <v>974</v>
      </c>
      <c r="C33" s="54" t="s">
        <v>984</v>
      </c>
      <c r="D33" s="55">
        <v>12000.2</v>
      </c>
      <c r="E33" s="54">
        <v>5</v>
      </c>
      <c r="F33" s="63">
        <f>Productos5[[#This Row],[Valor unitario]]*Productos5[[#This Row],[Cantidad]]</f>
        <v>60001</v>
      </c>
      <c r="G33" s="54" t="s">
        <v>1016</v>
      </c>
      <c r="H33" s="54">
        <v>10985229</v>
      </c>
      <c r="I33" s="65" t="str">
        <f>CONCATENATE(VLOOKUP(Productos5[[#This Row],[CC.VendedorV]],Vendedores[],2,FALSE)," ", VLOOKUP(Productos5[[#This Row],[CC.VendedorV]],Vendedores[],3,FALSE))</f>
        <v>Carlos González</v>
      </c>
      <c r="L33" s="54">
        <v>10927261</v>
      </c>
      <c r="M33" s="23" t="str">
        <f>CONCATENATE(VLOOKUP(L33,Vendedores[],2,FALSE)," ",VLOOKUP(L33,Vendedores[],3,FALSE))</f>
        <v>Raúl Velazco</v>
      </c>
      <c r="N33" s="61">
        <f t="shared" si="2"/>
        <v>45</v>
      </c>
      <c r="O33" s="62">
        <f t="shared" si="3"/>
        <v>270022.5</v>
      </c>
    </row>
    <row r="34" spans="2:15" x14ac:dyDescent="0.25">
      <c r="B34" s="53" t="s">
        <v>965</v>
      </c>
      <c r="C34" s="54" t="s">
        <v>975</v>
      </c>
      <c r="D34" s="55">
        <v>12000.45</v>
      </c>
      <c r="E34" s="54">
        <v>7</v>
      </c>
      <c r="F34" s="63">
        <f>Productos5[[#This Row],[Valor unitario]]*Productos5[[#This Row],[Cantidad]]</f>
        <v>84003.150000000009</v>
      </c>
      <c r="G34" s="54" t="s">
        <v>1017</v>
      </c>
      <c r="H34" s="54">
        <v>10997554</v>
      </c>
      <c r="I34" s="65" t="str">
        <f>CONCATENATE(VLOOKUP(Productos5[[#This Row],[CC.VendedorV]],Vendedores[],2,FALSE)," ", VLOOKUP(Productos5[[#This Row],[CC.VendedorV]],Vendedores[],3,FALSE))</f>
        <v>Sandra Perea</v>
      </c>
      <c r="L34" s="54">
        <v>10986797</v>
      </c>
      <c r="M34" s="23" t="str">
        <f>CONCATENATE(VLOOKUP(L34,Vendedores[],2,FALSE)," ",VLOOKUP(L34,Vendedores[],3,FALSE))</f>
        <v>Antonio Pérez</v>
      </c>
      <c r="N34" s="61">
        <f t="shared" si="2"/>
        <v>38</v>
      </c>
      <c r="O34" s="62">
        <f t="shared" si="3"/>
        <v>228003.8</v>
      </c>
    </row>
    <row r="35" spans="2:15" x14ac:dyDescent="0.25">
      <c r="B35" s="53" t="s">
        <v>966</v>
      </c>
      <c r="C35" s="54" t="s">
        <v>976</v>
      </c>
      <c r="D35" s="55">
        <v>12200.6</v>
      </c>
      <c r="E35" s="54">
        <v>6</v>
      </c>
      <c r="F35" s="63">
        <f>Productos5[[#This Row],[Valor unitario]]*Productos5[[#This Row],[Cantidad]]</f>
        <v>73203.600000000006</v>
      </c>
      <c r="G35" s="54" t="s">
        <v>1018</v>
      </c>
      <c r="H35" s="54">
        <v>10927346</v>
      </c>
      <c r="I35" s="65" t="str">
        <f>CONCATENATE(VLOOKUP(Productos5[[#This Row],[CC.VendedorV]],Vendedores[],2,FALSE)," ", VLOOKUP(Productos5[[#This Row],[CC.VendedorV]],Vendedores[],3,FALSE))</f>
        <v>Pedro Bedoya</v>
      </c>
      <c r="L35" s="54">
        <v>10963232</v>
      </c>
      <c r="M35" s="23" t="str">
        <f>CONCATENATE(VLOOKUP(L35,Vendedores[],2,FALSE)," ",VLOOKUP(L35,Vendedores[],3,FALSE))</f>
        <v>Carlos Ramírez</v>
      </c>
      <c r="N35" s="61">
        <f t="shared" si="2"/>
        <v>55</v>
      </c>
      <c r="O35" s="62">
        <f t="shared" si="3"/>
        <v>335527.5</v>
      </c>
    </row>
    <row r="36" spans="2:15" x14ac:dyDescent="0.25">
      <c r="B36" s="53" t="s">
        <v>967</v>
      </c>
      <c r="C36" s="54" t="s">
        <v>977</v>
      </c>
      <c r="D36" s="55">
        <v>15000.15</v>
      </c>
      <c r="E36" s="54">
        <v>6</v>
      </c>
      <c r="F36" s="63">
        <f>Productos5[[#This Row],[Valor unitario]]*Productos5[[#This Row],[Cantidad]]</f>
        <v>90000.9</v>
      </c>
      <c r="G36" s="54" t="s">
        <v>1019</v>
      </c>
      <c r="H36" s="54">
        <v>10973306</v>
      </c>
      <c r="I36" s="65" t="str">
        <f>CONCATENATE(VLOOKUP(Productos5[[#This Row],[CC.VendedorV]],Vendedores[],2,FALSE)," ", VLOOKUP(Productos5[[#This Row],[CC.VendedorV]],Vendedores[],3,FALSE))</f>
        <v>Juan Tamaríz</v>
      </c>
      <c r="L36" s="54">
        <v>10951775</v>
      </c>
      <c r="M36" s="23" t="str">
        <f>CONCATENATE(VLOOKUP(L36,Vendedores[],2,FALSE)," ",VLOOKUP(L36,Vendedores[],3,FALSE))</f>
        <v>María López</v>
      </c>
      <c r="N36" s="61">
        <f t="shared" si="2"/>
        <v>47</v>
      </c>
      <c r="O36" s="62">
        <f t="shared" si="3"/>
        <v>940016.45</v>
      </c>
    </row>
    <row r="37" spans="2:15" x14ac:dyDescent="0.25">
      <c r="B37" s="53" t="s">
        <v>968</v>
      </c>
      <c r="C37" s="54" t="s">
        <v>978</v>
      </c>
      <c r="D37" s="55">
        <v>6000.5</v>
      </c>
      <c r="E37" s="54">
        <v>4</v>
      </c>
      <c r="F37" s="63">
        <f>Productos5[[#This Row],[Valor unitario]]*Productos5[[#This Row],[Cantidad]]</f>
        <v>24002</v>
      </c>
      <c r="G37" s="54" t="s">
        <v>1020</v>
      </c>
      <c r="H37" s="54">
        <v>10927261</v>
      </c>
      <c r="I37" s="65" t="str">
        <f>CONCATENATE(VLOOKUP(Productos5[[#This Row],[CC.VendedorV]],Vendedores[],2,FALSE)," ", VLOOKUP(Productos5[[#This Row],[CC.VendedorV]],Vendedores[],3,FALSE))</f>
        <v>Raúl Velazco</v>
      </c>
      <c r="L37" s="54">
        <v>10950576</v>
      </c>
      <c r="M37" s="23" t="str">
        <f>CONCATENATE(VLOOKUP(L37,Vendedores[],2,FALSE)," ",VLOOKUP(L37,Vendedores[],3,FALSE))</f>
        <v>Claudia Gómez</v>
      </c>
      <c r="N37" s="61">
        <f t="shared" si="2"/>
        <v>46</v>
      </c>
      <c r="O37" s="62">
        <f t="shared" si="3"/>
        <v>506011.03999999992</v>
      </c>
    </row>
    <row r="38" spans="2:15" x14ac:dyDescent="0.25">
      <c r="B38" s="53" t="s">
        <v>969</v>
      </c>
      <c r="C38" s="54" t="s">
        <v>979</v>
      </c>
      <c r="D38" s="55">
        <v>6000.1</v>
      </c>
      <c r="E38" s="54">
        <v>1</v>
      </c>
      <c r="F38" s="63">
        <f>Productos5[[#This Row],[Valor unitario]]*Productos5[[#This Row],[Cantidad]]</f>
        <v>6000.1</v>
      </c>
      <c r="G38" s="54" t="s">
        <v>1021</v>
      </c>
      <c r="H38" s="54">
        <v>10986797</v>
      </c>
      <c r="I38" s="65" t="str">
        <f>CONCATENATE(VLOOKUP(Productos5[[#This Row],[CC.VendedorV]],Vendedores[],2,FALSE)," ", VLOOKUP(Productos5[[#This Row],[CC.VendedorV]],Vendedores[],3,FALSE))</f>
        <v>Antonio Pérez</v>
      </c>
      <c r="L38" s="54">
        <v>10980436</v>
      </c>
      <c r="M38" s="23" t="str">
        <f>CONCATENATE(VLOOKUP(L38,Vendedores[],2,FALSE)," ",VLOOKUP(L38,Vendedores[],3,FALSE))</f>
        <v>Stella Trois</v>
      </c>
      <c r="N38" s="61">
        <f t="shared" si="2"/>
        <v>41</v>
      </c>
      <c r="O38" s="62">
        <f t="shared" si="3"/>
        <v>984028.70000000019</v>
      </c>
    </row>
    <row r="39" spans="2:15" x14ac:dyDescent="0.25">
      <c r="B39" s="53" t="s">
        <v>970</v>
      </c>
      <c r="C39" s="54" t="s">
        <v>980</v>
      </c>
      <c r="D39" s="55">
        <v>6100.5</v>
      </c>
      <c r="E39" s="54">
        <v>8</v>
      </c>
      <c r="F39" s="63">
        <f>Productos5[[#This Row],[Valor unitario]]*Productos5[[#This Row],[Cantidad]]</f>
        <v>48804</v>
      </c>
      <c r="G39" s="54" t="s">
        <v>1022</v>
      </c>
      <c r="H39" s="54">
        <v>10963232</v>
      </c>
      <c r="I39" s="65" t="str">
        <f>CONCATENATE(VLOOKUP(Productos5[[#This Row],[CC.VendedorV]],Vendedores[],2,FALSE)," ", VLOOKUP(Productos5[[#This Row],[CC.VendedorV]],Vendedores[],3,FALSE))</f>
        <v>Carlos Ramírez</v>
      </c>
      <c r="L39" s="54">
        <v>10985229</v>
      </c>
      <c r="M39" s="23" t="str">
        <f>CONCATENATE(VLOOKUP(L39,Vendedores[],2,FALSE)," ",VLOOKUP(L39,Vendedores[],3,FALSE))</f>
        <v>Carlos González</v>
      </c>
      <c r="N39" s="61">
        <f t="shared" si="2"/>
        <v>30</v>
      </c>
      <c r="O39" s="62">
        <f t="shared" si="3"/>
        <v>360006.00000000006</v>
      </c>
    </row>
    <row r="40" spans="2:15" x14ac:dyDescent="0.25">
      <c r="B40" s="53" t="s">
        <v>971</v>
      </c>
      <c r="C40" s="54" t="s">
        <v>981</v>
      </c>
      <c r="D40" s="55">
        <v>20000.349999999999</v>
      </c>
      <c r="E40" s="54">
        <v>4</v>
      </c>
      <c r="F40" s="63">
        <f>Productos5[[#This Row],[Valor unitario]]*Productos5[[#This Row],[Cantidad]]</f>
        <v>80001.399999999994</v>
      </c>
      <c r="G40" s="54" t="s">
        <v>1012</v>
      </c>
      <c r="H40" s="54">
        <v>10951775</v>
      </c>
      <c r="I40" s="65" t="str">
        <f>CONCATENATE(VLOOKUP(Productos5[[#This Row],[CC.VendedorV]],Vendedores[],2,FALSE)," ", VLOOKUP(Productos5[[#This Row],[CC.VendedorV]],Vendedores[],3,FALSE))</f>
        <v>María López</v>
      </c>
    </row>
    <row r="41" spans="2:15" x14ac:dyDescent="0.25">
      <c r="B41" s="53" t="s">
        <v>972</v>
      </c>
      <c r="C41" s="54" t="s">
        <v>982</v>
      </c>
      <c r="D41" s="55">
        <v>11000.24</v>
      </c>
      <c r="E41" s="54">
        <v>10</v>
      </c>
      <c r="F41" s="63">
        <f>Productos5[[#This Row],[Valor unitario]]*Productos5[[#This Row],[Cantidad]]</f>
        <v>110002.4</v>
      </c>
      <c r="G41" s="54" t="s">
        <v>1013</v>
      </c>
      <c r="H41" s="54">
        <v>10950576</v>
      </c>
      <c r="I41" s="65" t="str">
        <f>CONCATENATE(VLOOKUP(Productos5[[#This Row],[CC.VendedorV]],Vendedores[],2,FALSE)," ", VLOOKUP(Productos5[[#This Row],[CC.VendedorV]],Vendedores[],3,FALSE))</f>
        <v>Claudia Gómez</v>
      </c>
    </row>
    <row r="42" spans="2:15" x14ac:dyDescent="0.25">
      <c r="B42" s="53" t="s">
        <v>973</v>
      </c>
      <c r="C42" s="54" t="s">
        <v>983</v>
      </c>
      <c r="D42" s="55">
        <v>24000.7</v>
      </c>
      <c r="E42" s="54">
        <v>3</v>
      </c>
      <c r="F42" s="63">
        <f>Productos5[[#This Row],[Valor unitario]]*Productos5[[#This Row],[Cantidad]]</f>
        <v>72002.100000000006</v>
      </c>
      <c r="G42" s="54" t="s">
        <v>178</v>
      </c>
      <c r="H42" s="54">
        <v>10980436</v>
      </c>
      <c r="I42" s="65" t="str">
        <f>CONCATENATE(VLOOKUP(Productos5[[#This Row],[CC.VendedorV]],Vendedores[],2,FALSE)," ", VLOOKUP(Productos5[[#This Row],[CC.VendedorV]],Vendedores[],3,FALSE))</f>
        <v>Stella Trois</v>
      </c>
    </row>
    <row r="43" spans="2:15" x14ac:dyDescent="0.25">
      <c r="B43" s="53" t="s">
        <v>974</v>
      </c>
      <c r="C43" s="54" t="s">
        <v>984</v>
      </c>
      <c r="D43" s="55">
        <v>12000.2</v>
      </c>
      <c r="E43" s="54">
        <v>4</v>
      </c>
      <c r="F43" s="63">
        <f>Productos5[[#This Row],[Valor unitario]]*Productos5[[#This Row],[Cantidad]]</f>
        <v>48000.800000000003</v>
      </c>
      <c r="G43" s="54" t="s">
        <v>1014</v>
      </c>
      <c r="H43" s="54">
        <v>10985229</v>
      </c>
      <c r="I43" s="65" t="str">
        <f>CONCATENATE(VLOOKUP(Productos5[[#This Row],[CC.VendedorV]],Vendedores[],2,FALSE)," ", VLOOKUP(Productos5[[#This Row],[CC.VendedorV]],Vendedores[],3,FALSE))</f>
        <v>Carlos González</v>
      </c>
    </row>
    <row r="44" spans="2:15" x14ac:dyDescent="0.25">
      <c r="B44" s="53" t="s">
        <v>965</v>
      </c>
      <c r="C44" s="54" t="s">
        <v>975</v>
      </c>
      <c r="D44" s="55">
        <v>12000.45</v>
      </c>
      <c r="E44" s="54">
        <v>2</v>
      </c>
      <c r="F44" s="63">
        <f>Productos5[[#This Row],[Valor unitario]]*Productos5[[#This Row],[Cantidad]]</f>
        <v>24000.9</v>
      </c>
      <c r="G44" s="54" t="s">
        <v>1015</v>
      </c>
      <c r="H44" s="54">
        <v>10997554</v>
      </c>
      <c r="I44" s="65" t="str">
        <f>CONCATENATE(VLOOKUP(Productos5[[#This Row],[CC.VendedorV]],Vendedores[],2,FALSE)," ", VLOOKUP(Productos5[[#This Row],[CC.VendedorV]],Vendedores[],3,FALSE))</f>
        <v>Sandra Perea</v>
      </c>
    </row>
    <row r="45" spans="2:15" x14ac:dyDescent="0.25">
      <c r="B45" s="53" t="s">
        <v>966</v>
      </c>
      <c r="C45" s="54" t="s">
        <v>976</v>
      </c>
      <c r="D45" s="55">
        <v>12200.6</v>
      </c>
      <c r="E45" s="54">
        <v>2</v>
      </c>
      <c r="F45" s="63">
        <f>Productos5[[#This Row],[Valor unitario]]*Productos5[[#This Row],[Cantidad]]</f>
        <v>24401.200000000001</v>
      </c>
      <c r="G45" s="54" t="s">
        <v>1016</v>
      </c>
      <c r="H45" s="54">
        <v>10927346</v>
      </c>
      <c r="I45" s="65" t="str">
        <f>CONCATENATE(VLOOKUP(Productos5[[#This Row],[CC.VendedorV]],Vendedores[],2,FALSE)," ", VLOOKUP(Productos5[[#This Row],[CC.VendedorV]],Vendedores[],3,FALSE))</f>
        <v>Pedro Bedoya</v>
      </c>
    </row>
    <row r="46" spans="2:15" x14ac:dyDescent="0.25">
      <c r="B46" s="53" t="s">
        <v>967</v>
      </c>
      <c r="C46" s="54" t="s">
        <v>977</v>
      </c>
      <c r="D46" s="55">
        <v>15000.15</v>
      </c>
      <c r="E46" s="54">
        <v>1</v>
      </c>
      <c r="F46" s="63">
        <f>Productos5[[#This Row],[Valor unitario]]*Productos5[[#This Row],[Cantidad]]</f>
        <v>15000.15</v>
      </c>
      <c r="G46" s="54" t="s">
        <v>1017</v>
      </c>
      <c r="H46" s="54">
        <v>10973306</v>
      </c>
      <c r="I46" s="65" t="str">
        <f>CONCATENATE(VLOOKUP(Productos5[[#This Row],[CC.VendedorV]],Vendedores[],2,FALSE)," ", VLOOKUP(Productos5[[#This Row],[CC.VendedorV]],Vendedores[],3,FALSE))</f>
        <v>Juan Tamaríz</v>
      </c>
    </row>
    <row r="47" spans="2:15" x14ac:dyDescent="0.25">
      <c r="B47" s="53" t="s">
        <v>968</v>
      </c>
      <c r="C47" s="54" t="s">
        <v>978</v>
      </c>
      <c r="D47" s="55">
        <v>6000.5</v>
      </c>
      <c r="E47" s="54">
        <v>7</v>
      </c>
      <c r="F47" s="63">
        <f>Productos5[[#This Row],[Valor unitario]]*Productos5[[#This Row],[Cantidad]]</f>
        <v>42003.5</v>
      </c>
      <c r="G47" s="54" t="s">
        <v>1018</v>
      </c>
      <c r="H47" s="54">
        <v>10927261</v>
      </c>
      <c r="I47" s="65" t="str">
        <f>CONCATENATE(VLOOKUP(Productos5[[#This Row],[CC.VendedorV]],Vendedores[],2,FALSE)," ", VLOOKUP(Productos5[[#This Row],[CC.VendedorV]],Vendedores[],3,FALSE))</f>
        <v>Raúl Velazco</v>
      </c>
    </row>
    <row r="48" spans="2:15" x14ac:dyDescent="0.25">
      <c r="B48" s="53" t="s">
        <v>969</v>
      </c>
      <c r="C48" s="54" t="s">
        <v>979</v>
      </c>
      <c r="D48" s="55">
        <v>6000.1</v>
      </c>
      <c r="E48" s="54">
        <v>8</v>
      </c>
      <c r="F48" s="63">
        <f>Productos5[[#This Row],[Valor unitario]]*Productos5[[#This Row],[Cantidad]]</f>
        <v>48000.800000000003</v>
      </c>
      <c r="G48" s="54" t="s">
        <v>1019</v>
      </c>
      <c r="H48" s="54">
        <v>10986797</v>
      </c>
      <c r="I48" s="65" t="str">
        <f>CONCATENATE(VLOOKUP(Productos5[[#This Row],[CC.VendedorV]],Vendedores[],2,FALSE)," ", VLOOKUP(Productos5[[#This Row],[CC.VendedorV]],Vendedores[],3,FALSE))</f>
        <v>Antonio Pérez</v>
      </c>
    </row>
    <row r="49" spans="2:15" x14ac:dyDescent="0.25">
      <c r="B49" s="53" t="s">
        <v>970</v>
      </c>
      <c r="C49" s="54" t="s">
        <v>980</v>
      </c>
      <c r="D49" s="55">
        <v>6100.5</v>
      </c>
      <c r="E49" s="54">
        <v>4</v>
      </c>
      <c r="F49" s="63">
        <f>Productos5[[#This Row],[Valor unitario]]*Productos5[[#This Row],[Cantidad]]</f>
        <v>24402</v>
      </c>
      <c r="G49" s="54" t="s">
        <v>1020</v>
      </c>
      <c r="H49" s="54">
        <v>10963232</v>
      </c>
      <c r="I49" s="65" t="str">
        <f>CONCATENATE(VLOOKUP(Productos5[[#This Row],[CC.VendedorV]],Vendedores[],2,FALSE)," ", VLOOKUP(Productos5[[#This Row],[CC.VendedorV]],Vendedores[],3,FALSE))</f>
        <v>Carlos Ramírez</v>
      </c>
    </row>
    <row r="50" spans="2:15" x14ac:dyDescent="0.25">
      <c r="B50" s="53" t="s">
        <v>971</v>
      </c>
      <c r="C50" s="54" t="s">
        <v>981</v>
      </c>
      <c r="D50" s="55">
        <v>20000.349999999999</v>
      </c>
      <c r="E50" s="54">
        <v>3</v>
      </c>
      <c r="F50" s="63">
        <f>Productos5[[#This Row],[Valor unitario]]*Productos5[[#This Row],[Cantidad]]</f>
        <v>60001.049999999996</v>
      </c>
      <c r="G50" s="54" t="s">
        <v>1021</v>
      </c>
      <c r="H50" s="54">
        <v>10951775</v>
      </c>
      <c r="I50" s="65" t="str">
        <f>CONCATENATE(VLOOKUP(Productos5[[#This Row],[CC.VendedorV]],Vendedores[],2,FALSE)," ", VLOOKUP(Productos5[[#This Row],[CC.VendedorV]],Vendedores[],3,FALSE))</f>
        <v>María López</v>
      </c>
    </row>
    <row r="51" spans="2:15" x14ac:dyDescent="0.25">
      <c r="B51" s="53" t="s">
        <v>972</v>
      </c>
      <c r="C51" s="54" t="s">
        <v>982</v>
      </c>
      <c r="D51" s="55">
        <v>11000.24</v>
      </c>
      <c r="E51" s="54">
        <v>5</v>
      </c>
      <c r="F51" s="63">
        <f>Productos5[[#This Row],[Valor unitario]]*Productos5[[#This Row],[Cantidad]]</f>
        <v>55001.2</v>
      </c>
      <c r="G51" s="54" t="s">
        <v>1022</v>
      </c>
      <c r="H51" s="54">
        <v>10950576</v>
      </c>
      <c r="I51" s="65" t="str">
        <f>CONCATENATE(VLOOKUP(Productos5[[#This Row],[CC.VendedorV]],Vendedores[],2,FALSE)," ", VLOOKUP(Productos5[[#This Row],[CC.VendedorV]],Vendedores[],3,FALSE))</f>
        <v>Claudia Gómez</v>
      </c>
    </row>
    <row r="52" spans="2:15" x14ac:dyDescent="0.25">
      <c r="B52" s="53" t="s">
        <v>973</v>
      </c>
      <c r="C52" s="54" t="s">
        <v>983</v>
      </c>
      <c r="D52" s="55">
        <v>24000.7</v>
      </c>
      <c r="E52" s="54">
        <v>2</v>
      </c>
      <c r="F52" s="63">
        <f>Productos5[[#This Row],[Valor unitario]]*Productos5[[#This Row],[Cantidad]]</f>
        <v>48001.4</v>
      </c>
      <c r="G52" s="54" t="s">
        <v>1012</v>
      </c>
      <c r="H52" s="54">
        <v>10980436</v>
      </c>
      <c r="I52" s="65" t="str">
        <f>CONCATENATE(VLOOKUP(Productos5[[#This Row],[CC.VendedorV]],Vendedores[],2,FALSE)," ", VLOOKUP(Productos5[[#This Row],[CC.VendedorV]],Vendedores[],3,FALSE))</f>
        <v>Stella Trois</v>
      </c>
    </row>
    <row r="53" spans="2:15" x14ac:dyDescent="0.25">
      <c r="B53" s="53" t="s">
        <v>974</v>
      </c>
      <c r="C53" s="54" t="s">
        <v>984</v>
      </c>
      <c r="D53" s="55">
        <v>12000.2</v>
      </c>
      <c r="E53" s="54">
        <v>4</v>
      </c>
      <c r="F53" s="63">
        <f>Productos5[[#This Row],[Valor unitario]]*Productos5[[#This Row],[Cantidad]]</f>
        <v>48000.800000000003</v>
      </c>
      <c r="G53" s="54" t="s">
        <v>1013</v>
      </c>
      <c r="H53" s="54">
        <v>10985229</v>
      </c>
      <c r="I53" s="65" t="str">
        <f>CONCATENATE(VLOOKUP(Productos5[[#This Row],[CC.VendedorV]],Vendedores[],2,FALSE)," ", VLOOKUP(Productos5[[#This Row],[CC.VendedorV]],Vendedores[],3,FALSE))</f>
        <v>Carlos González</v>
      </c>
    </row>
    <row r="54" spans="2:15" x14ac:dyDescent="0.25">
      <c r="B54" s="53" t="s">
        <v>965</v>
      </c>
      <c r="C54" s="54" t="s">
        <v>975</v>
      </c>
      <c r="D54" s="55">
        <v>12000.45</v>
      </c>
      <c r="E54" s="54">
        <v>5</v>
      </c>
      <c r="F54" s="63">
        <f>Productos5[[#This Row],[Valor unitario]]*Productos5[[#This Row],[Cantidad]]</f>
        <v>60002.25</v>
      </c>
      <c r="G54" s="54" t="s">
        <v>178</v>
      </c>
      <c r="H54" s="54">
        <v>10997554</v>
      </c>
      <c r="I54" s="65" t="str">
        <f>CONCATENATE(VLOOKUP(Productos5[[#This Row],[CC.VendedorV]],Vendedores[],2,FALSE)," ", VLOOKUP(Productos5[[#This Row],[CC.VendedorV]],Vendedores[],3,FALSE))</f>
        <v>Sandra Perea</v>
      </c>
    </row>
    <row r="55" spans="2:15" x14ac:dyDescent="0.25">
      <c r="B55" s="53" t="s">
        <v>966</v>
      </c>
      <c r="C55" s="54" t="s">
        <v>976</v>
      </c>
      <c r="D55" s="55">
        <v>12200.6</v>
      </c>
      <c r="E55" s="54">
        <v>4</v>
      </c>
      <c r="F55" s="63">
        <f>Productos5[[#This Row],[Valor unitario]]*Productos5[[#This Row],[Cantidad]]</f>
        <v>48802.400000000001</v>
      </c>
      <c r="G55" s="54" t="s">
        <v>1014</v>
      </c>
      <c r="H55" s="54">
        <v>10927346</v>
      </c>
      <c r="I55" s="65" t="str">
        <f>CONCATENATE(VLOOKUP(Productos5[[#This Row],[CC.VendedorV]],Vendedores[],2,FALSE)," ", VLOOKUP(Productos5[[#This Row],[CC.VendedorV]],Vendedores[],3,FALSE))</f>
        <v>Pedro Bedoya</v>
      </c>
    </row>
    <row r="56" spans="2:15" x14ac:dyDescent="0.25">
      <c r="B56" s="53" t="s">
        <v>967</v>
      </c>
      <c r="C56" s="54" t="s">
        <v>977</v>
      </c>
      <c r="D56" s="55">
        <v>15000.15</v>
      </c>
      <c r="E56" s="54">
        <v>9</v>
      </c>
      <c r="F56" s="63">
        <f>Productos5[[#This Row],[Valor unitario]]*Productos5[[#This Row],[Cantidad]]</f>
        <v>135001.35</v>
      </c>
      <c r="G56" s="54" t="s">
        <v>1015</v>
      </c>
      <c r="H56" s="54">
        <v>10973306</v>
      </c>
      <c r="I56" s="65" t="str">
        <f>CONCATENATE(VLOOKUP(Productos5[[#This Row],[CC.VendedorV]],Vendedores[],2,FALSE)," ", VLOOKUP(Productos5[[#This Row],[CC.VendedorV]],Vendedores[],3,FALSE))</f>
        <v>Juan Tamaríz</v>
      </c>
    </row>
    <row r="57" spans="2:15" x14ac:dyDescent="0.25">
      <c r="B57" s="53" t="s">
        <v>968</v>
      </c>
      <c r="C57" s="54" t="s">
        <v>978</v>
      </c>
      <c r="D57" s="55">
        <v>6000.5</v>
      </c>
      <c r="E57" s="54">
        <v>9</v>
      </c>
      <c r="F57" s="63">
        <f>Productos5[[#This Row],[Valor unitario]]*Productos5[[#This Row],[Cantidad]]</f>
        <v>54004.5</v>
      </c>
      <c r="G57" s="54" t="s">
        <v>1016</v>
      </c>
      <c r="H57" s="54">
        <v>10927261</v>
      </c>
      <c r="I57" s="65" t="str">
        <f>CONCATENATE(VLOOKUP(Productos5[[#This Row],[CC.VendedorV]],Vendedores[],2,FALSE)," ", VLOOKUP(Productos5[[#This Row],[CC.VendedorV]],Vendedores[],3,FALSE))</f>
        <v>Raúl Velazco</v>
      </c>
    </row>
    <row r="58" spans="2:15" x14ac:dyDescent="0.25">
      <c r="B58" s="53" t="s">
        <v>969</v>
      </c>
      <c r="C58" s="54" t="s">
        <v>979</v>
      </c>
      <c r="D58" s="55">
        <v>6000.1</v>
      </c>
      <c r="E58" s="54">
        <v>10</v>
      </c>
      <c r="F58" s="63">
        <f>Productos5[[#This Row],[Valor unitario]]*Productos5[[#This Row],[Cantidad]]</f>
        <v>60001</v>
      </c>
      <c r="G58" s="54" t="s">
        <v>1017</v>
      </c>
      <c r="H58" s="54">
        <v>10986797</v>
      </c>
      <c r="I58" s="65" t="str">
        <f>CONCATENATE(VLOOKUP(Productos5[[#This Row],[CC.VendedorV]],Vendedores[],2,FALSE)," ", VLOOKUP(Productos5[[#This Row],[CC.VendedorV]],Vendedores[],3,FALSE))</f>
        <v>Antonio Pérez</v>
      </c>
    </row>
    <row r="59" spans="2:15" x14ac:dyDescent="0.25">
      <c r="B59" s="53" t="s">
        <v>970</v>
      </c>
      <c r="C59" s="54" t="s">
        <v>980</v>
      </c>
      <c r="D59" s="55">
        <v>6100.5</v>
      </c>
      <c r="E59" s="54">
        <v>8</v>
      </c>
      <c r="F59" s="63">
        <f>Productos5[[#This Row],[Valor unitario]]*Productos5[[#This Row],[Cantidad]]</f>
        <v>48804</v>
      </c>
      <c r="G59" s="54" t="s">
        <v>1018</v>
      </c>
      <c r="H59" s="54">
        <v>10963232</v>
      </c>
      <c r="I59" s="65" t="str">
        <f>CONCATENATE(VLOOKUP(Productos5[[#This Row],[CC.VendedorV]],Vendedores[],2,FALSE)," ", VLOOKUP(Productos5[[#This Row],[CC.VendedorV]],Vendedores[],3,FALSE))</f>
        <v>Carlos Ramírez</v>
      </c>
    </row>
    <row r="60" spans="2:15" x14ac:dyDescent="0.25">
      <c r="B60" s="53" t="s">
        <v>971</v>
      </c>
      <c r="C60" s="54" t="s">
        <v>981</v>
      </c>
      <c r="D60" s="55">
        <v>20000.349999999999</v>
      </c>
      <c r="E60" s="54">
        <v>5</v>
      </c>
      <c r="F60" s="63">
        <f>Productos5[[#This Row],[Valor unitario]]*Productos5[[#This Row],[Cantidad]]</f>
        <v>100001.75</v>
      </c>
      <c r="G60" s="54" t="s">
        <v>1019</v>
      </c>
      <c r="H60" s="54">
        <v>10951775</v>
      </c>
      <c r="I60" s="65" t="str">
        <f>CONCATENATE(VLOOKUP(Productos5[[#This Row],[CC.VendedorV]],Vendedores[],2,FALSE)," ", VLOOKUP(Productos5[[#This Row],[CC.VendedorV]],Vendedores[],3,FALSE))</f>
        <v>María López</v>
      </c>
    </row>
    <row r="61" spans="2:15" x14ac:dyDescent="0.25">
      <c r="B61" s="53" t="s">
        <v>972</v>
      </c>
      <c r="C61" s="54" t="s">
        <v>982</v>
      </c>
      <c r="D61" s="55">
        <v>11000.24</v>
      </c>
      <c r="E61" s="54">
        <v>2</v>
      </c>
      <c r="F61" s="63">
        <f>Productos5[[#This Row],[Valor unitario]]*Productos5[[#This Row],[Cantidad]]</f>
        <v>22000.48</v>
      </c>
      <c r="G61" s="54" t="s">
        <v>1020</v>
      </c>
      <c r="H61" s="54">
        <v>10950576</v>
      </c>
      <c r="I61" s="65" t="str">
        <f>CONCATENATE(VLOOKUP(Productos5[[#This Row],[CC.VendedorV]],Vendedores[],2,FALSE)," ", VLOOKUP(Productos5[[#This Row],[CC.VendedorV]],Vendedores[],3,FALSE))</f>
        <v>Claudia Gómez</v>
      </c>
    </row>
    <row r="62" spans="2:15" x14ac:dyDescent="0.25">
      <c r="B62" s="53" t="s">
        <v>973</v>
      </c>
      <c r="C62" s="54" t="s">
        <v>983</v>
      </c>
      <c r="D62" s="55">
        <v>24000.7</v>
      </c>
      <c r="E62" s="54">
        <v>9</v>
      </c>
      <c r="F62" s="63">
        <f>Productos5[[#This Row],[Valor unitario]]*Productos5[[#This Row],[Cantidad]]</f>
        <v>216006.30000000002</v>
      </c>
      <c r="G62" s="54" t="s">
        <v>1021</v>
      </c>
      <c r="H62" s="54">
        <v>10980436</v>
      </c>
      <c r="I62" s="65" t="str">
        <f>CONCATENATE(VLOOKUP(Productos5[[#This Row],[CC.VendedorV]],Vendedores[],2,FALSE)," ", VLOOKUP(Productos5[[#This Row],[CC.VendedorV]],Vendedores[],3,FALSE))</f>
        <v>Stella Trois</v>
      </c>
    </row>
    <row r="63" spans="2:15" x14ac:dyDescent="0.25">
      <c r="B63" s="53" t="s">
        <v>974</v>
      </c>
      <c r="C63" s="54" t="s">
        <v>984</v>
      </c>
      <c r="D63" s="55">
        <v>12000.2</v>
      </c>
      <c r="E63" s="54">
        <v>7</v>
      </c>
      <c r="F63" s="63">
        <f>Productos5[[#This Row],[Valor unitario]]*Productos5[[#This Row],[Cantidad]]</f>
        <v>84001.400000000009</v>
      </c>
      <c r="G63" s="54" t="s">
        <v>1022</v>
      </c>
      <c r="H63" s="54">
        <v>10985229</v>
      </c>
      <c r="I63" s="65" t="str">
        <f>CONCATENATE(VLOOKUP(Productos5[[#This Row],[CC.VendedorV]],Vendedores[],2,FALSE)," ", VLOOKUP(Productos5[[#This Row],[CC.VendedorV]],Vendedores[],3,FALSE))</f>
        <v>Carlos González</v>
      </c>
    </row>
    <row r="64" spans="2:15" x14ac:dyDescent="0.25">
      <c r="B64" s="53" t="s">
        <v>965</v>
      </c>
      <c r="C64" s="54" t="s">
        <v>975</v>
      </c>
      <c r="D64" s="55">
        <v>12000.45</v>
      </c>
      <c r="E64" s="54">
        <v>5</v>
      </c>
      <c r="F64" s="63">
        <f>Productos5[[#This Row],[Valor unitario]]*Productos5[[#This Row],[Cantidad]]</f>
        <v>60002.25</v>
      </c>
      <c r="G64" s="54" t="s">
        <v>1012</v>
      </c>
      <c r="H64" s="54">
        <v>10997554</v>
      </c>
      <c r="I64" s="65" t="str">
        <f>CONCATENATE(VLOOKUP(Productos5[[#This Row],[CC.VendedorV]],Vendedores[],2,FALSE)," ", VLOOKUP(Productos5[[#This Row],[CC.VendedorV]],Vendedores[],3,FALSE))</f>
        <v>Sandra Perea</v>
      </c>
      <c r="M64" s="80" t="s">
        <v>1034</v>
      </c>
      <c r="N64" s="82"/>
      <c r="O64" s="82"/>
    </row>
    <row r="65" spans="2:15" x14ac:dyDescent="0.25">
      <c r="B65" s="53" t="s">
        <v>966</v>
      </c>
      <c r="C65" s="54" t="s">
        <v>976</v>
      </c>
      <c r="D65" s="55">
        <v>12200.6</v>
      </c>
      <c r="E65" s="54">
        <v>10</v>
      </c>
      <c r="F65" s="63">
        <f>Productos5[[#This Row],[Valor unitario]]*Productos5[[#This Row],[Cantidad]]</f>
        <v>122006</v>
      </c>
      <c r="G65" s="54" t="s">
        <v>1013</v>
      </c>
      <c r="H65" s="54">
        <v>10927346</v>
      </c>
      <c r="I65" s="65" t="str">
        <f>CONCATENATE(VLOOKUP(Productos5[[#This Row],[CC.VendedorV]],Vendedores[],2,FALSE)," ", VLOOKUP(Productos5[[#This Row],[CC.VendedorV]],Vendedores[],3,FALSE))</f>
        <v>Pedro Bedoya</v>
      </c>
    </row>
    <row r="66" spans="2:15" x14ac:dyDescent="0.25">
      <c r="B66" s="53" t="s">
        <v>967</v>
      </c>
      <c r="C66" s="54" t="s">
        <v>977</v>
      </c>
      <c r="D66" s="55">
        <v>15000.15</v>
      </c>
      <c r="E66" s="54">
        <v>7</v>
      </c>
      <c r="F66" s="63">
        <f>Productos5[[#This Row],[Valor unitario]]*Productos5[[#This Row],[Cantidad]]</f>
        <v>105001.05</v>
      </c>
      <c r="G66" s="54" t="s">
        <v>178</v>
      </c>
      <c r="H66" s="54">
        <v>10973306</v>
      </c>
      <c r="I66" s="65" t="str">
        <f>CONCATENATE(VLOOKUP(Productos5[[#This Row],[CC.VendedorV]],Vendedores[],2,FALSE)," ", VLOOKUP(Productos5[[#This Row],[CC.VendedorV]],Vendedores[],3,FALSE))</f>
        <v>Juan Tamaríz</v>
      </c>
      <c r="L66" s="56" t="s">
        <v>1035</v>
      </c>
      <c r="M66" s="56" t="s">
        <v>1036</v>
      </c>
      <c r="N66" s="56" t="s">
        <v>1030</v>
      </c>
      <c r="O66" s="56" t="s">
        <v>1037</v>
      </c>
    </row>
    <row r="67" spans="2:15" x14ac:dyDescent="0.25">
      <c r="B67" s="53" t="s">
        <v>968</v>
      </c>
      <c r="C67" s="54" t="s">
        <v>978</v>
      </c>
      <c r="D67" s="55">
        <v>6000.5</v>
      </c>
      <c r="E67" s="54">
        <v>5</v>
      </c>
      <c r="F67" s="63">
        <f>Productos5[[#This Row],[Valor unitario]]*Productos5[[#This Row],[Cantidad]]</f>
        <v>30002.5</v>
      </c>
      <c r="G67" s="54" t="s">
        <v>1014</v>
      </c>
      <c r="H67" s="54">
        <v>10927261</v>
      </c>
      <c r="I67" s="65" t="str">
        <f>CONCATENATE(VLOOKUP(Productos5[[#This Row],[CC.VendedorV]],Vendedores[],2,FALSE)," ", VLOOKUP(Productos5[[#This Row],[CC.VendedorV]],Vendedores[],3,FALSE))</f>
        <v>Raúl Velazco</v>
      </c>
      <c r="L67" s="54" t="s">
        <v>965</v>
      </c>
      <c r="M67" s="54" t="s">
        <v>975</v>
      </c>
      <c r="N67" s="61">
        <f t="shared" ref="N67:N76" si="4">SUMIF(Nombre,M67,Cantidad)</f>
        <v>37</v>
      </c>
      <c r="O67" s="62">
        <f t="shared" ref="O67:O76" si="5">SUMIF(CódigoV,L67,Total)</f>
        <v>444016.65</v>
      </c>
    </row>
    <row r="68" spans="2:15" x14ac:dyDescent="0.25">
      <c r="B68" s="53" t="s">
        <v>969</v>
      </c>
      <c r="C68" s="54" t="s">
        <v>979</v>
      </c>
      <c r="D68" s="55">
        <v>6000.1</v>
      </c>
      <c r="E68" s="54">
        <v>3</v>
      </c>
      <c r="F68" s="63">
        <f>Productos5[[#This Row],[Valor unitario]]*Productos5[[#This Row],[Cantidad]]</f>
        <v>18000.300000000003</v>
      </c>
      <c r="G68" s="54" t="s">
        <v>1015</v>
      </c>
      <c r="H68" s="54">
        <v>10986797</v>
      </c>
      <c r="I68" s="65" t="str">
        <f>CONCATENATE(VLOOKUP(Productos5[[#This Row],[CC.VendedorV]],Vendedores[],2,FALSE)," ", VLOOKUP(Productos5[[#This Row],[CC.VendedorV]],Vendedores[],3,FALSE))</f>
        <v>Antonio Pérez</v>
      </c>
      <c r="L68" s="54" t="s">
        <v>966</v>
      </c>
      <c r="M68" s="54" t="s">
        <v>976</v>
      </c>
      <c r="N68" s="61">
        <f t="shared" si="4"/>
        <v>44</v>
      </c>
      <c r="O68" s="62">
        <f t="shared" si="5"/>
        <v>536826.4</v>
      </c>
    </row>
    <row r="69" spans="2:15" x14ac:dyDescent="0.25">
      <c r="B69" s="53" t="s">
        <v>970</v>
      </c>
      <c r="C69" s="54" t="s">
        <v>980</v>
      </c>
      <c r="D69" s="55">
        <v>6100.5</v>
      </c>
      <c r="E69" s="54">
        <v>10</v>
      </c>
      <c r="F69" s="63">
        <f>Productos5[[#This Row],[Valor unitario]]*Productos5[[#This Row],[Cantidad]]</f>
        <v>61005</v>
      </c>
      <c r="G69" s="54" t="s">
        <v>1016</v>
      </c>
      <c r="H69" s="54">
        <v>10963232</v>
      </c>
      <c r="I69" s="65" t="str">
        <f>CONCATENATE(VLOOKUP(Productos5[[#This Row],[CC.VendedorV]],Vendedores[],2,FALSE)," ", VLOOKUP(Productos5[[#This Row],[CC.VendedorV]],Vendedores[],3,FALSE))</f>
        <v>Carlos Ramírez</v>
      </c>
      <c r="L69" s="54" t="s">
        <v>967</v>
      </c>
      <c r="M69" s="54" t="s">
        <v>977</v>
      </c>
      <c r="N69" s="61">
        <f t="shared" si="4"/>
        <v>50</v>
      </c>
      <c r="O69" s="62">
        <f t="shared" si="5"/>
        <v>750007.5</v>
      </c>
    </row>
    <row r="70" spans="2:15" x14ac:dyDescent="0.25">
      <c r="B70" s="53" t="s">
        <v>971</v>
      </c>
      <c r="C70" s="54" t="s">
        <v>981</v>
      </c>
      <c r="D70" s="55">
        <v>20000.349999999999</v>
      </c>
      <c r="E70" s="54">
        <v>8</v>
      </c>
      <c r="F70" s="63">
        <f>Productos5[[#This Row],[Valor unitario]]*Productos5[[#This Row],[Cantidad]]</f>
        <v>160002.79999999999</v>
      </c>
      <c r="G70" s="54" t="s">
        <v>1017</v>
      </c>
      <c r="H70" s="54">
        <v>10951775</v>
      </c>
      <c r="I70" s="65" t="str">
        <f>CONCATENATE(VLOOKUP(Productos5[[#This Row],[CC.VendedorV]],Vendedores[],2,FALSE)," ", VLOOKUP(Productos5[[#This Row],[CC.VendedorV]],Vendedores[],3,FALSE))</f>
        <v>María López</v>
      </c>
      <c r="L70" s="54" t="s">
        <v>968</v>
      </c>
      <c r="M70" s="54" t="s">
        <v>978</v>
      </c>
      <c r="N70" s="61">
        <f t="shared" si="4"/>
        <v>45</v>
      </c>
      <c r="O70" s="62">
        <f t="shared" si="5"/>
        <v>270022.5</v>
      </c>
    </row>
    <row r="71" spans="2:15" x14ac:dyDescent="0.25">
      <c r="B71" s="53" t="s">
        <v>972</v>
      </c>
      <c r="C71" s="54" t="s">
        <v>982</v>
      </c>
      <c r="D71" s="55">
        <v>11000.24</v>
      </c>
      <c r="E71" s="54">
        <v>2</v>
      </c>
      <c r="F71" s="63">
        <f>Productos5[[#This Row],[Valor unitario]]*Productos5[[#This Row],[Cantidad]]</f>
        <v>22000.48</v>
      </c>
      <c r="G71" s="54" t="s">
        <v>1018</v>
      </c>
      <c r="H71" s="54">
        <v>10950576</v>
      </c>
      <c r="I71" s="65" t="str">
        <f>CONCATENATE(VLOOKUP(Productos5[[#This Row],[CC.VendedorV]],Vendedores[],2,FALSE)," ", VLOOKUP(Productos5[[#This Row],[CC.VendedorV]],Vendedores[],3,FALSE))</f>
        <v>Claudia Gómez</v>
      </c>
      <c r="L71" s="54" t="s">
        <v>969</v>
      </c>
      <c r="M71" s="54" t="s">
        <v>979</v>
      </c>
      <c r="N71" s="61">
        <f t="shared" si="4"/>
        <v>38</v>
      </c>
      <c r="O71" s="62">
        <f t="shared" si="5"/>
        <v>228003.8</v>
      </c>
    </row>
    <row r="72" spans="2:15" x14ac:dyDescent="0.25">
      <c r="B72" s="53" t="s">
        <v>973</v>
      </c>
      <c r="C72" s="54" t="s">
        <v>983</v>
      </c>
      <c r="D72" s="55">
        <v>24000.7</v>
      </c>
      <c r="E72" s="54">
        <v>6</v>
      </c>
      <c r="F72" s="63">
        <f>Productos5[[#This Row],[Valor unitario]]*Productos5[[#This Row],[Cantidad]]</f>
        <v>144004.20000000001</v>
      </c>
      <c r="G72" s="54" t="s">
        <v>1019</v>
      </c>
      <c r="H72" s="54">
        <v>10980436</v>
      </c>
      <c r="I72" s="65" t="str">
        <f>CONCATENATE(VLOOKUP(Productos5[[#This Row],[CC.VendedorV]],Vendedores[],2,FALSE)," ", VLOOKUP(Productos5[[#This Row],[CC.VendedorV]],Vendedores[],3,FALSE))</f>
        <v>Stella Trois</v>
      </c>
      <c r="L72" s="54" t="s">
        <v>970</v>
      </c>
      <c r="M72" s="54" t="s">
        <v>980</v>
      </c>
      <c r="N72" s="61">
        <f t="shared" si="4"/>
        <v>55</v>
      </c>
      <c r="O72" s="62">
        <f t="shared" si="5"/>
        <v>335527.5</v>
      </c>
    </row>
    <row r="73" spans="2:15" x14ac:dyDescent="0.25">
      <c r="B73" s="53" t="s">
        <v>974</v>
      </c>
      <c r="C73" s="54" t="s">
        <v>984</v>
      </c>
      <c r="D73" s="55">
        <v>12000.2</v>
      </c>
      <c r="E73" s="54">
        <v>1</v>
      </c>
      <c r="F73" s="63">
        <f>Productos5[[#This Row],[Valor unitario]]*Productos5[[#This Row],[Cantidad]]</f>
        <v>12000.2</v>
      </c>
      <c r="G73" s="54" t="s">
        <v>1020</v>
      </c>
      <c r="H73" s="54">
        <v>10985229</v>
      </c>
      <c r="I73" s="65" t="str">
        <f>CONCATENATE(VLOOKUP(Productos5[[#This Row],[CC.VendedorV]],Vendedores[],2,FALSE)," ", VLOOKUP(Productos5[[#This Row],[CC.VendedorV]],Vendedores[],3,FALSE))</f>
        <v>Carlos González</v>
      </c>
      <c r="L73" s="54" t="s">
        <v>971</v>
      </c>
      <c r="M73" s="54" t="s">
        <v>981</v>
      </c>
      <c r="N73" s="61">
        <f t="shared" si="4"/>
        <v>47</v>
      </c>
      <c r="O73" s="62">
        <f t="shared" si="5"/>
        <v>940016.45</v>
      </c>
    </row>
    <row r="74" spans="2:15" x14ac:dyDescent="0.25">
      <c r="B74" s="53" t="s">
        <v>965</v>
      </c>
      <c r="C74" s="54" t="s">
        <v>975</v>
      </c>
      <c r="D74" s="55">
        <v>12000.45</v>
      </c>
      <c r="E74" s="54">
        <v>3</v>
      </c>
      <c r="F74" s="63">
        <f>Productos5[[#This Row],[Valor unitario]]*Productos5[[#This Row],[Cantidad]]</f>
        <v>36001.350000000006</v>
      </c>
      <c r="G74" s="54" t="s">
        <v>1021</v>
      </c>
      <c r="H74" s="54">
        <v>10997554</v>
      </c>
      <c r="I74" s="65" t="str">
        <f>CONCATENATE(VLOOKUP(Productos5[[#This Row],[CC.VendedorV]],Vendedores[],2,FALSE)," ", VLOOKUP(Productos5[[#This Row],[CC.VendedorV]],Vendedores[],3,FALSE))</f>
        <v>Sandra Perea</v>
      </c>
      <c r="L74" s="54" t="s">
        <v>972</v>
      </c>
      <c r="M74" s="54" t="s">
        <v>982</v>
      </c>
      <c r="N74" s="61">
        <f t="shared" si="4"/>
        <v>46</v>
      </c>
      <c r="O74" s="62">
        <f t="shared" si="5"/>
        <v>506011.03999999992</v>
      </c>
    </row>
    <row r="75" spans="2:15" x14ac:dyDescent="0.25">
      <c r="B75" s="53" t="s">
        <v>966</v>
      </c>
      <c r="C75" s="54" t="s">
        <v>976</v>
      </c>
      <c r="D75" s="55">
        <v>12200.6</v>
      </c>
      <c r="E75" s="54">
        <v>9</v>
      </c>
      <c r="F75" s="63">
        <f>Productos5[[#This Row],[Valor unitario]]*Productos5[[#This Row],[Cantidad]]</f>
        <v>109805.40000000001</v>
      </c>
      <c r="G75" s="54" t="s">
        <v>1022</v>
      </c>
      <c r="H75" s="54">
        <v>10927346</v>
      </c>
      <c r="I75" s="65" t="str">
        <f>CONCATENATE(VLOOKUP(Productos5[[#This Row],[CC.VendedorV]],Vendedores[],2,FALSE)," ", VLOOKUP(Productos5[[#This Row],[CC.VendedorV]],Vendedores[],3,FALSE))</f>
        <v>Pedro Bedoya</v>
      </c>
      <c r="L75" s="54" t="s">
        <v>973</v>
      </c>
      <c r="M75" s="54" t="s">
        <v>983</v>
      </c>
      <c r="N75" s="61">
        <f t="shared" si="4"/>
        <v>41</v>
      </c>
      <c r="O75" s="62">
        <f t="shared" si="5"/>
        <v>984028.70000000019</v>
      </c>
    </row>
    <row r="76" spans="2:15" x14ac:dyDescent="0.25">
      <c r="B76" s="53" t="s">
        <v>967</v>
      </c>
      <c r="C76" s="54" t="s">
        <v>977</v>
      </c>
      <c r="D76" s="55">
        <v>15000.15</v>
      </c>
      <c r="E76" s="54">
        <v>10</v>
      </c>
      <c r="F76" s="63">
        <f>Productos5[[#This Row],[Valor unitario]]*Productos5[[#This Row],[Cantidad]]</f>
        <v>150001.5</v>
      </c>
      <c r="G76" s="54" t="s">
        <v>1012</v>
      </c>
      <c r="H76" s="54">
        <v>10973306</v>
      </c>
      <c r="I76" s="65" t="str">
        <f>CONCATENATE(VLOOKUP(Productos5[[#This Row],[CC.VendedorV]],Vendedores[],2,FALSE)," ", VLOOKUP(Productos5[[#This Row],[CC.VendedorV]],Vendedores[],3,FALSE))</f>
        <v>Juan Tamaríz</v>
      </c>
      <c r="L76" s="54" t="s">
        <v>974</v>
      </c>
      <c r="M76" s="54" t="s">
        <v>984</v>
      </c>
      <c r="N76" s="61">
        <f t="shared" si="4"/>
        <v>30</v>
      </c>
      <c r="O76" s="62">
        <f t="shared" si="5"/>
        <v>360006.00000000006</v>
      </c>
    </row>
    <row r="77" spans="2:15" x14ac:dyDescent="0.25">
      <c r="B77" s="53" t="s">
        <v>968</v>
      </c>
      <c r="C77" s="54" t="s">
        <v>978</v>
      </c>
      <c r="D77" s="55">
        <v>6000.5</v>
      </c>
      <c r="E77" s="54">
        <v>7</v>
      </c>
      <c r="F77" s="63">
        <f>Productos5[[#This Row],[Valor unitario]]*Productos5[[#This Row],[Cantidad]]</f>
        <v>42003.5</v>
      </c>
      <c r="G77" s="54" t="s">
        <v>1013</v>
      </c>
      <c r="H77" s="54">
        <v>10927261</v>
      </c>
      <c r="I77" s="65" t="str">
        <f>CONCATENATE(VLOOKUP(Productos5[[#This Row],[CC.VendedorV]],Vendedores[],2,FALSE)," ", VLOOKUP(Productos5[[#This Row],[CC.VendedorV]],Vendedores[],3,FALSE))</f>
        <v>Raúl Velazco</v>
      </c>
    </row>
    <row r="78" spans="2:15" x14ac:dyDescent="0.25">
      <c r="B78" s="53" t="s">
        <v>969</v>
      </c>
      <c r="C78" s="54" t="s">
        <v>979</v>
      </c>
      <c r="D78" s="55">
        <v>6000.1</v>
      </c>
      <c r="E78" s="54">
        <v>7</v>
      </c>
      <c r="F78" s="63">
        <f>Productos5[[#This Row],[Valor unitario]]*Productos5[[#This Row],[Cantidad]]</f>
        <v>42000.700000000004</v>
      </c>
      <c r="G78" s="54" t="s">
        <v>178</v>
      </c>
      <c r="H78" s="54">
        <v>10986797</v>
      </c>
      <c r="I78" s="65" t="str">
        <f>CONCATENATE(VLOOKUP(Productos5[[#This Row],[CC.VendedorV]],Vendedores[],2,FALSE)," ", VLOOKUP(Productos5[[#This Row],[CC.VendedorV]],Vendedores[],3,FALSE))</f>
        <v>Antonio Pérez</v>
      </c>
    </row>
    <row r="79" spans="2:15" x14ac:dyDescent="0.25">
      <c r="B79" s="53" t="s">
        <v>970</v>
      </c>
      <c r="C79" s="54" t="s">
        <v>980</v>
      </c>
      <c r="D79" s="55">
        <v>6100.5</v>
      </c>
      <c r="E79" s="54">
        <v>3</v>
      </c>
      <c r="F79" s="63">
        <f>Productos5[[#This Row],[Valor unitario]]*Productos5[[#This Row],[Cantidad]]</f>
        <v>18301.5</v>
      </c>
      <c r="G79" s="54" t="s">
        <v>1014</v>
      </c>
      <c r="H79" s="54">
        <v>10963232</v>
      </c>
      <c r="I79" s="65" t="str">
        <f>CONCATENATE(VLOOKUP(Productos5[[#This Row],[CC.VendedorV]],Vendedores[],2,FALSE)," ", VLOOKUP(Productos5[[#This Row],[CC.VendedorV]],Vendedores[],3,FALSE))</f>
        <v>Carlos Ramírez</v>
      </c>
    </row>
    <row r="80" spans="2:15" x14ac:dyDescent="0.25">
      <c r="B80" s="53" t="s">
        <v>971</v>
      </c>
      <c r="C80" s="54" t="s">
        <v>981</v>
      </c>
      <c r="D80" s="55">
        <v>20000.349999999999</v>
      </c>
      <c r="E80" s="54">
        <v>5</v>
      </c>
      <c r="F80" s="63">
        <f>Productos5[[#This Row],[Valor unitario]]*Productos5[[#This Row],[Cantidad]]</f>
        <v>100001.75</v>
      </c>
      <c r="G80" s="54" t="s">
        <v>1015</v>
      </c>
      <c r="H80" s="54">
        <v>10951775</v>
      </c>
      <c r="I80" s="65" t="str">
        <f>CONCATENATE(VLOOKUP(Productos5[[#This Row],[CC.VendedorV]],Vendedores[],2,FALSE)," ", VLOOKUP(Productos5[[#This Row],[CC.VendedorV]],Vendedores[],3,FALSE))</f>
        <v>María López</v>
      </c>
    </row>
    <row r="81" spans="2:9" x14ac:dyDescent="0.25">
      <c r="B81" s="53" t="s">
        <v>972</v>
      </c>
      <c r="C81" s="54" t="s">
        <v>982</v>
      </c>
      <c r="D81" s="55">
        <v>11000.24</v>
      </c>
      <c r="E81" s="54">
        <v>8</v>
      </c>
      <c r="F81" s="63">
        <f>Productos5[[#This Row],[Valor unitario]]*Productos5[[#This Row],[Cantidad]]</f>
        <v>88001.919999999998</v>
      </c>
      <c r="G81" s="54" t="s">
        <v>1016</v>
      </c>
      <c r="H81" s="54">
        <v>10950576</v>
      </c>
      <c r="I81" s="65" t="str">
        <f>CONCATENATE(VLOOKUP(Productos5[[#This Row],[CC.VendedorV]],Vendedores[],2,FALSE)," ", VLOOKUP(Productos5[[#This Row],[CC.VendedorV]],Vendedores[],3,FALSE))</f>
        <v>Claudia Gómez</v>
      </c>
    </row>
    <row r="82" spans="2:9" x14ac:dyDescent="0.25">
      <c r="B82" s="53" t="s">
        <v>973</v>
      </c>
      <c r="C82" s="54" t="s">
        <v>983</v>
      </c>
      <c r="D82" s="55">
        <v>24000.7</v>
      </c>
      <c r="E82" s="54">
        <v>4</v>
      </c>
      <c r="F82" s="63">
        <f>Productos5[[#This Row],[Valor unitario]]*Productos5[[#This Row],[Cantidad]]</f>
        <v>96002.8</v>
      </c>
      <c r="G82" s="54" t="s">
        <v>1017</v>
      </c>
      <c r="H82" s="54">
        <v>10980436</v>
      </c>
      <c r="I82" s="65" t="str">
        <f>CONCATENATE(VLOOKUP(Productos5[[#This Row],[CC.VendedorV]],Vendedores[],2,FALSE)," ", VLOOKUP(Productos5[[#This Row],[CC.VendedorV]],Vendedores[],3,FALSE))</f>
        <v>Stella Trois</v>
      </c>
    </row>
    <row r="83" spans="2:9" x14ac:dyDescent="0.25">
      <c r="B83" s="58" t="s">
        <v>974</v>
      </c>
      <c r="C83" s="59" t="s">
        <v>984</v>
      </c>
      <c r="D83" s="60">
        <v>12000.2</v>
      </c>
      <c r="E83" s="54">
        <v>6</v>
      </c>
      <c r="F83" s="64">
        <f>Productos5[[#This Row],[Valor unitario]]*Productos5[[#This Row],[Cantidad]]</f>
        <v>72001.200000000012</v>
      </c>
      <c r="G83" s="59" t="s">
        <v>1018</v>
      </c>
      <c r="H83" s="59">
        <v>10985229</v>
      </c>
      <c r="I83" s="66" t="str">
        <f>CONCATENATE(VLOOKUP(Productos5[[#This Row],[CC.VendedorV]],Vendedores[],2,FALSE)," ", VLOOKUP(Productos5[[#This Row],[CC.VendedorV]],Vendedores[],3,FALSE))</f>
        <v>Carlos González</v>
      </c>
    </row>
  </sheetData>
  <sheetProtection algorithmName="SHA-512" hashValue="cQ3OutrbGIkU5mA4AgM7C+J5TAyzJamG/adaNAXkIhEmJSNNuwV3RBF7HpMj2HADmC3z8MYwJYhSsFXSoUmjQA==" saltValue="GMkpf3n4l5FprCDKnWHmnw==" spinCount="100000" sheet="1" objects="1" scenarios="1"/>
  <mergeCells count="4">
    <mergeCell ref="M4:O4"/>
    <mergeCell ref="M27:O27"/>
    <mergeCell ref="L2:W2"/>
    <mergeCell ref="M64:O64"/>
  </mergeCells>
  <phoneticPr fontId="3" type="noConversion"/>
  <conditionalFormatting sqref="O30:O39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N30:N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{D4D2952E-2079-4EA9-AB53-E5B3C53AE4CC}</x14:id>
        </ext>
      </extLst>
    </cfRule>
  </conditionalFormatting>
  <conditionalFormatting sqref="O67:O76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N67:N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{7089ACE9-F0A4-4001-B89C-72C4C6DA9E39}</x14:id>
        </ext>
      </extLst>
    </cfRule>
  </conditionalFormatting>
  <conditionalFormatting sqref="M7:M2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{3FAA1D24-A144-4F3B-A42B-B98EAD768BD8}</x14:id>
        </ext>
      </extLst>
    </cfRule>
  </conditionalFormatting>
  <conditionalFormatting sqref="N7:N26">
    <cfRule type="iconSet" priority="15">
      <iconSet iconSet="3Arrows">
        <cfvo type="percent" val="0"/>
        <cfvo type="percent" val="33"/>
        <cfvo type="percent" val="67"/>
      </iconSet>
    </cfRule>
  </conditionalFormatting>
  <pageMargins left="0.70866141732283472" right="0.70866141732283472" top="0.74803149606299213" bottom="0.74803149606299213" header="0.31496062992125984" footer="0.31496062992125984"/>
  <pageSetup scale="67" orientation="landscape" r:id="rId1"/>
  <headerFooter>
    <oddHeader xml:space="preserve">&amp;L       &amp;G&amp;C&amp;"Cooper Black,Normal"&amp;22&amp;K002060LÁCTEOS LPG&amp;RCalle 22 # 33-25
Barrancabermeja, Santander </oddHeader>
    <oddFooter>&amp;L&amp;D
&amp;T&amp;C&amp;P de &amp;N&amp;R&amp;F
&amp;Z&amp;F</oddFooter>
  </headerFooter>
  <colBreaks count="1" manualBreakCount="1">
    <brk id="23" max="87" man="1"/>
  </colBreaks>
  <drawing r:id="rId2"/>
  <legacyDrawingHF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D2952E-2079-4EA9-AB53-E5B3C53AE4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N30:N39</xm:sqref>
        </x14:conditionalFormatting>
        <x14:conditionalFormatting xmlns:xm="http://schemas.microsoft.com/office/excel/2006/main">
          <x14:cfRule type="dataBar" id="{7089ACE9-F0A4-4001-B89C-72C4C6DA9E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N67:N76</xm:sqref>
        </x14:conditionalFormatting>
        <x14:conditionalFormatting xmlns:xm="http://schemas.microsoft.com/office/excel/2006/main">
          <x14:cfRule type="dataBar" id="{3FAA1D24-A144-4F3B-A42B-B98EAD768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M7:M26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D622-0F41-4888-ACAB-54BF1E8363F2}">
  <sheetPr codeName="Hoja3"/>
  <dimension ref="A1:G2"/>
  <sheetViews>
    <sheetView workbookViewId="0">
      <selection activeCell="G2" sqref="G2"/>
    </sheetView>
  </sheetViews>
  <sheetFormatPr baseColWidth="10" defaultRowHeight="15" x14ac:dyDescent="0.25"/>
  <cols>
    <col min="1" max="1" width="13.5703125" customWidth="1"/>
    <col min="2" max="3" width="12.42578125" customWidth="1"/>
    <col min="4" max="4" width="18.7109375" customWidth="1"/>
    <col min="5" max="5" width="18" customWidth="1"/>
    <col min="6" max="6" width="19.140625" customWidth="1"/>
    <col min="7" max="7" width="18.7109375" customWidth="1"/>
  </cols>
  <sheetData>
    <row r="1" spans="1:7" x14ac:dyDescent="0.25">
      <c r="A1" s="19" t="s">
        <v>1057</v>
      </c>
      <c r="B1" s="19" t="s">
        <v>1000</v>
      </c>
      <c r="C1" s="19" t="s">
        <v>1058</v>
      </c>
      <c r="D1" s="19" t="s">
        <v>1053</v>
      </c>
      <c r="E1" s="19" t="s">
        <v>1054</v>
      </c>
      <c r="F1" s="19" t="s">
        <v>1056</v>
      </c>
      <c r="G1" s="19" t="s">
        <v>1055</v>
      </c>
    </row>
    <row r="2" spans="1:7" x14ac:dyDescent="0.25">
      <c r="A2">
        <v>1</v>
      </c>
      <c r="B2" s="21">
        <v>80370</v>
      </c>
      <c r="C2" s="21">
        <v>-4231</v>
      </c>
      <c r="D2" s="21">
        <v>499144</v>
      </c>
      <c r="E2" s="20">
        <v>44688</v>
      </c>
      <c r="F2" s="22" t="s">
        <v>1060</v>
      </c>
      <c r="G2" s="22" t="s">
        <v>1047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FBA76-54B7-4784-A8D6-467F92610153}">
  <sheetPr codeName="Hoja6">
    <pageSetUpPr fitToPage="1"/>
  </sheetPr>
  <dimension ref="B2:G202"/>
  <sheetViews>
    <sheetView view="pageBreakPreview" topLeftCell="A183" zoomScaleNormal="100" zoomScaleSheetLayoutView="100" workbookViewId="0">
      <selection activeCell="B190" sqref="B190"/>
    </sheetView>
  </sheetViews>
  <sheetFormatPr baseColWidth="10" defaultRowHeight="15" x14ac:dyDescent="0.25"/>
  <cols>
    <col min="2" max="2" width="11.7109375" bestFit="1" customWidth="1"/>
    <col min="3" max="3" width="13.42578125" bestFit="1" customWidth="1"/>
    <col min="4" max="4" width="19.28515625" bestFit="1" customWidth="1"/>
    <col min="5" max="5" width="13.5703125" bestFit="1" customWidth="1"/>
    <col min="6" max="6" width="19" bestFit="1" customWidth="1"/>
    <col min="7" max="7" width="39" bestFit="1" customWidth="1"/>
    <col min="17" max="17" width="15.140625" customWidth="1"/>
  </cols>
  <sheetData>
    <row r="2" spans="2:7" x14ac:dyDescent="0.25">
      <c r="B2" s="7" t="s">
        <v>0</v>
      </c>
      <c r="C2" s="8" t="s">
        <v>1</v>
      </c>
      <c r="D2" s="8" t="s">
        <v>3</v>
      </c>
      <c r="E2" s="8" t="s">
        <v>4</v>
      </c>
      <c r="F2" s="8" t="s">
        <v>5</v>
      </c>
      <c r="G2" s="9" t="s">
        <v>6</v>
      </c>
    </row>
    <row r="3" spans="2:7" x14ac:dyDescent="0.25">
      <c r="B3" s="3">
        <v>10951048</v>
      </c>
      <c r="C3" s="2" t="s">
        <v>31</v>
      </c>
      <c r="D3" s="2" t="s">
        <v>32</v>
      </c>
      <c r="E3" s="2" t="s">
        <v>567</v>
      </c>
      <c r="F3" s="2" t="s">
        <v>30</v>
      </c>
      <c r="G3" s="10" t="s">
        <v>12</v>
      </c>
    </row>
    <row r="4" spans="2:7" x14ac:dyDescent="0.25">
      <c r="B4" s="3">
        <v>10991877</v>
      </c>
      <c r="C4" s="2" t="s">
        <v>33</v>
      </c>
      <c r="D4" s="2" t="s">
        <v>34</v>
      </c>
      <c r="E4" s="2" t="s">
        <v>568</v>
      </c>
      <c r="F4" s="2" t="s">
        <v>766</v>
      </c>
      <c r="G4" s="10" t="s">
        <v>369</v>
      </c>
    </row>
    <row r="5" spans="2:7" x14ac:dyDescent="0.25">
      <c r="B5" s="3">
        <v>10907703</v>
      </c>
      <c r="C5" s="2" t="s">
        <v>35</v>
      </c>
      <c r="D5" s="2" t="s">
        <v>36</v>
      </c>
      <c r="E5" s="2" t="s">
        <v>569</v>
      </c>
      <c r="F5" s="2" t="s">
        <v>767</v>
      </c>
      <c r="G5" s="10" t="s">
        <v>370</v>
      </c>
    </row>
    <row r="6" spans="2:7" x14ac:dyDescent="0.25">
      <c r="B6" s="3">
        <v>10953672</v>
      </c>
      <c r="C6" s="2" t="s">
        <v>37</v>
      </c>
      <c r="D6" s="2" t="s">
        <v>38</v>
      </c>
      <c r="E6" s="2" t="s">
        <v>570</v>
      </c>
      <c r="F6" s="2" t="s">
        <v>768</v>
      </c>
      <c r="G6" s="11" t="s">
        <v>371</v>
      </c>
    </row>
    <row r="7" spans="2:7" x14ac:dyDescent="0.25">
      <c r="B7" s="3">
        <v>10953804</v>
      </c>
      <c r="C7" s="2" t="s">
        <v>39</v>
      </c>
      <c r="D7" s="2" t="s">
        <v>40</v>
      </c>
      <c r="E7" s="2" t="s">
        <v>571</v>
      </c>
      <c r="F7" s="2" t="s">
        <v>769</v>
      </c>
      <c r="G7" s="11" t="s">
        <v>372</v>
      </c>
    </row>
    <row r="8" spans="2:7" x14ac:dyDescent="0.25">
      <c r="B8" s="3">
        <v>10925564</v>
      </c>
      <c r="C8" s="2" t="s">
        <v>41</v>
      </c>
      <c r="D8" s="2" t="s">
        <v>42</v>
      </c>
      <c r="E8" s="2" t="s">
        <v>572</v>
      </c>
      <c r="F8" s="2" t="s">
        <v>770</v>
      </c>
      <c r="G8" s="11" t="s">
        <v>373</v>
      </c>
    </row>
    <row r="9" spans="2:7" x14ac:dyDescent="0.25">
      <c r="B9" s="3">
        <v>10908252</v>
      </c>
      <c r="C9" s="2" t="s">
        <v>43</v>
      </c>
      <c r="D9" s="2" t="s">
        <v>11</v>
      </c>
      <c r="E9" s="2" t="s">
        <v>573</v>
      </c>
      <c r="F9" s="2" t="s">
        <v>771</v>
      </c>
      <c r="G9" s="11" t="s">
        <v>374</v>
      </c>
    </row>
    <row r="10" spans="2:7" x14ac:dyDescent="0.25">
      <c r="B10" s="3">
        <v>10905166</v>
      </c>
      <c r="C10" s="2" t="s">
        <v>45</v>
      </c>
      <c r="D10" s="2" t="s">
        <v>46</v>
      </c>
      <c r="E10" s="2" t="s">
        <v>574</v>
      </c>
      <c r="F10" s="2" t="s">
        <v>772</v>
      </c>
      <c r="G10" s="11" t="s">
        <v>375</v>
      </c>
    </row>
    <row r="11" spans="2:7" x14ac:dyDescent="0.25">
      <c r="B11" s="3">
        <v>10924310</v>
      </c>
      <c r="C11" s="2" t="s">
        <v>47</v>
      </c>
      <c r="D11" s="2" t="s">
        <v>48</v>
      </c>
      <c r="E11" s="2" t="s">
        <v>575</v>
      </c>
      <c r="F11" s="2" t="s">
        <v>773</v>
      </c>
      <c r="G11" s="11" t="s">
        <v>376</v>
      </c>
    </row>
    <row r="12" spans="2:7" x14ac:dyDescent="0.25">
      <c r="B12" s="3">
        <v>10938390</v>
      </c>
      <c r="C12" s="2" t="s">
        <v>49</v>
      </c>
      <c r="D12" s="2" t="s">
        <v>50</v>
      </c>
      <c r="E12" s="2" t="s">
        <v>576</v>
      </c>
      <c r="F12" s="2" t="s">
        <v>774</v>
      </c>
      <c r="G12" s="11" t="s">
        <v>377</v>
      </c>
    </row>
    <row r="13" spans="2:7" x14ac:dyDescent="0.25">
      <c r="B13" s="3">
        <v>10927617</v>
      </c>
      <c r="C13" s="2" t="s">
        <v>51</v>
      </c>
      <c r="D13" s="2" t="s">
        <v>52</v>
      </c>
      <c r="E13" s="2" t="s">
        <v>577</v>
      </c>
      <c r="F13" s="2" t="s">
        <v>775</v>
      </c>
      <c r="G13" s="11" t="s">
        <v>378</v>
      </c>
    </row>
    <row r="14" spans="2:7" x14ac:dyDescent="0.25">
      <c r="B14" s="3">
        <v>10954706</v>
      </c>
      <c r="C14" s="2" t="s">
        <v>53</v>
      </c>
      <c r="D14" s="2" t="s">
        <v>44</v>
      </c>
      <c r="E14" s="2" t="s">
        <v>578</v>
      </c>
      <c r="F14" s="2" t="s">
        <v>776</v>
      </c>
      <c r="G14" s="11" t="s">
        <v>379</v>
      </c>
    </row>
    <row r="15" spans="2:7" x14ac:dyDescent="0.25">
      <c r="B15" s="3">
        <v>10939424</v>
      </c>
      <c r="C15" s="2" t="s">
        <v>54</v>
      </c>
      <c r="D15" s="2" t="s">
        <v>55</v>
      </c>
      <c r="E15" s="2" t="s">
        <v>579</v>
      </c>
      <c r="F15" s="2" t="s">
        <v>777</v>
      </c>
      <c r="G15" s="11" t="s">
        <v>380</v>
      </c>
    </row>
    <row r="16" spans="2:7" x14ac:dyDescent="0.25">
      <c r="B16" s="3">
        <v>10986986</v>
      </c>
      <c r="C16" s="2" t="s">
        <v>56</v>
      </c>
      <c r="D16" s="2" t="s">
        <v>57</v>
      </c>
      <c r="E16" s="2" t="s">
        <v>580</v>
      </c>
      <c r="F16" s="2" t="s">
        <v>778</v>
      </c>
      <c r="G16" s="11" t="s">
        <v>381</v>
      </c>
    </row>
    <row r="17" spans="2:7" x14ac:dyDescent="0.25">
      <c r="B17" s="3">
        <v>10992568</v>
      </c>
      <c r="C17" s="2" t="s">
        <v>58</v>
      </c>
      <c r="D17" s="2" t="s">
        <v>59</v>
      </c>
      <c r="E17" s="2" t="s">
        <v>581</v>
      </c>
      <c r="F17" s="2" t="s">
        <v>779</v>
      </c>
      <c r="G17" s="11" t="s">
        <v>382</v>
      </c>
    </row>
    <row r="18" spans="2:7" x14ac:dyDescent="0.25">
      <c r="B18" s="3">
        <v>10968322</v>
      </c>
      <c r="C18" s="2" t="s">
        <v>60</v>
      </c>
      <c r="D18" s="2" t="s">
        <v>44</v>
      </c>
      <c r="E18" s="2" t="s">
        <v>582</v>
      </c>
      <c r="F18" s="2" t="s">
        <v>780</v>
      </c>
      <c r="G18" s="11" t="s">
        <v>383</v>
      </c>
    </row>
    <row r="19" spans="2:7" x14ac:dyDescent="0.25">
      <c r="B19" s="3">
        <v>10980977</v>
      </c>
      <c r="C19" s="2" t="s">
        <v>61</v>
      </c>
      <c r="D19" s="2" t="s">
        <v>62</v>
      </c>
      <c r="E19" s="2" t="s">
        <v>583</v>
      </c>
      <c r="F19" s="2" t="s">
        <v>781</v>
      </c>
      <c r="G19" s="11" t="s">
        <v>384</v>
      </c>
    </row>
    <row r="20" spans="2:7" x14ac:dyDescent="0.25">
      <c r="B20" s="3">
        <v>10985843</v>
      </c>
      <c r="C20" s="2" t="s">
        <v>17</v>
      </c>
      <c r="D20" s="2" t="s">
        <v>63</v>
      </c>
      <c r="E20" s="2" t="s">
        <v>584</v>
      </c>
      <c r="F20" s="2" t="s">
        <v>782</v>
      </c>
      <c r="G20" s="11" t="s">
        <v>385</v>
      </c>
    </row>
    <row r="21" spans="2:7" x14ac:dyDescent="0.25">
      <c r="B21" s="3">
        <v>10975558</v>
      </c>
      <c r="C21" s="2" t="s">
        <v>64</v>
      </c>
      <c r="D21" s="2" t="s">
        <v>65</v>
      </c>
      <c r="E21" s="2" t="s">
        <v>585</v>
      </c>
      <c r="F21" s="2" t="s">
        <v>783</v>
      </c>
      <c r="G21" s="11" t="s">
        <v>386</v>
      </c>
    </row>
    <row r="22" spans="2:7" x14ac:dyDescent="0.25">
      <c r="B22" s="3">
        <v>10967013</v>
      </c>
      <c r="C22" s="2" t="s">
        <v>66</v>
      </c>
      <c r="D22" s="2" t="s">
        <v>67</v>
      </c>
      <c r="E22" s="2" t="s">
        <v>586</v>
      </c>
      <c r="F22" s="2" t="s">
        <v>784</v>
      </c>
      <c r="G22" s="11" t="s">
        <v>387</v>
      </c>
    </row>
    <row r="23" spans="2:7" x14ac:dyDescent="0.25">
      <c r="B23" s="3">
        <v>10977906</v>
      </c>
      <c r="C23" s="2" t="s">
        <v>68</v>
      </c>
      <c r="D23" s="2" t="s">
        <v>14</v>
      </c>
      <c r="E23" s="2" t="s">
        <v>587</v>
      </c>
      <c r="F23" s="2" t="s">
        <v>785</v>
      </c>
      <c r="G23" s="11" t="s">
        <v>388</v>
      </c>
    </row>
    <row r="24" spans="2:7" x14ac:dyDescent="0.25">
      <c r="B24" s="3">
        <v>10966393</v>
      </c>
      <c r="C24" s="2" t="s">
        <v>69</v>
      </c>
      <c r="D24" s="2" t="s">
        <v>70</v>
      </c>
      <c r="E24" s="2" t="s">
        <v>588</v>
      </c>
      <c r="F24" s="2" t="s">
        <v>786</v>
      </c>
      <c r="G24" s="11" t="s">
        <v>389</v>
      </c>
    </row>
    <row r="25" spans="2:7" x14ac:dyDescent="0.25">
      <c r="B25" s="3">
        <v>10971854</v>
      </c>
      <c r="C25" s="2" t="s">
        <v>71</v>
      </c>
      <c r="D25" s="2" t="s">
        <v>72</v>
      </c>
      <c r="E25" s="2" t="s">
        <v>589</v>
      </c>
      <c r="F25" s="2" t="s">
        <v>787</v>
      </c>
      <c r="G25" s="11" t="s">
        <v>390</v>
      </c>
    </row>
    <row r="26" spans="2:7" x14ac:dyDescent="0.25">
      <c r="B26" s="3">
        <v>10902050</v>
      </c>
      <c r="C26" s="2" t="s">
        <v>73</v>
      </c>
      <c r="D26" s="2" t="s">
        <v>74</v>
      </c>
      <c r="E26" s="2" t="s">
        <v>590</v>
      </c>
      <c r="F26" s="2" t="s">
        <v>788</v>
      </c>
      <c r="G26" s="11" t="s">
        <v>391</v>
      </c>
    </row>
    <row r="27" spans="2:7" x14ac:dyDescent="0.25">
      <c r="B27" s="3">
        <v>10923462</v>
      </c>
      <c r="C27" s="2" t="s">
        <v>75</v>
      </c>
      <c r="D27" s="2" t="s">
        <v>76</v>
      </c>
      <c r="E27" s="2" t="s">
        <v>591</v>
      </c>
      <c r="F27" s="2" t="s">
        <v>789</v>
      </c>
      <c r="G27" s="11" t="s">
        <v>392</v>
      </c>
    </row>
    <row r="28" spans="2:7" x14ac:dyDescent="0.25">
      <c r="B28" s="3">
        <v>10985577</v>
      </c>
      <c r="C28" s="2" t="s">
        <v>77</v>
      </c>
      <c r="D28" s="2" t="s">
        <v>78</v>
      </c>
      <c r="E28" s="2" t="s">
        <v>592</v>
      </c>
      <c r="F28" s="2" t="s">
        <v>790</v>
      </c>
      <c r="G28" s="11" t="s">
        <v>393</v>
      </c>
    </row>
    <row r="29" spans="2:7" x14ac:dyDescent="0.25">
      <c r="B29" s="3">
        <v>10935401</v>
      </c>
      <c r="C29" s="2" t="s">
        <v>80</v>
      </c>
      <c r="D29" s="2" t="s">
        <v>13</v>
      </c>
      <c r="E29" s="2" t="s">
        <v>593</v>
      </c>
      <c r="F29" s="2" t="s">
        <v>791</v>
      </c>
      <c r="G29" s="11" t="s">
        <v>394</v>
      </c>
    </row>
    <row r="30" spans="2:7" x14ac:dyDescent="0.25">
      <c r="B30" s="3">
        <v>10988795</v>
      </c>
      <c r="C30" s="2" t="s">
        <v>81</v>
      </c>
      <c r="D30" s="2" t="s">
        <v>82</v>
      </c>
      <c r="E30" s="2" t="s">
        <v>594</v>
      </c>
      <c r="F30" s="2" t="s">
        <v>792</v>
      </c>
      <c r="G30" s="11" t="s">
        <v>395</v>
      </c>
    </row>
    <row r="31" spans="2:7" x14ac:dyDescent="0.25">
      <c r="B31" s="3">
        <v>10991852</v>
      </c>
      <c r="C31" s="2" t="s">
        <v>83</v>
      </c>
      <c r="D31" s="2" t="s">
        <v>84</v>
      </c>
      <c r="E31" s="2" t="s">
        <v>595</v>
      </c>
      <c r="F31" s="2" t="s">
        <v>793</v>
      </c>
      <c r="G31" s="11" t="s">
        <v>396</v>
      </c>
    </row>
    <row r="32" spans="2:7" x14ac:dyDescent="0.25">
      <c r="B32" s="3">
        <v>10930497</v>
      </c>
      <c r="C32" s="2" t="s">
        <v>85</v>
      </c>
      <c r="D32" s="2" t="s">
        <v>86</v>
      </c>
      <c r="E32" s="2" t="s">
        <v>596</v>
      </c>
      <c r="F32" s="2" t="s">
        <v>794</v>
      </c>
      <c r="G32" s="11" t="s">
        <v>397</v>
      </c>
    </row>
    <row r="33" spans="2:7" x14ac:dyDescent="0.25">
      <c r="B33" s="3">
        <v>10922342</v>
      </c>
      <c r="C33" s="2" t="s">
        <v>88</v>
      </c>
      <c r="D33" s="2" t="s">
        <v>89</v>
      </c>
      <c r="E33" s="2" t="s">
        <v>597</v>
      </c>
      <c r="F33" s="2" t="s">
        <v>795</v>
      </c>
      <c r="G33" s="11" t="s">
        <v>398</v>
      </c>
    </row>
    <row r="34" spans="2:7" x14ac:dyDescent="0.25">
      <c r="B34" s="3">
        <v>10922311</v>
      </c>
      <c r="C34" s="2" t="s">
        <v>91</v>
      </c>
      <c r="D34" s="2" t="s">
        <v>92</v>
      </c>
      <c r="E34" s="2" t="s">
        <v>598</v>
      </c>
      <c r="F34" s="2" t="s">
        <v>796</v>
      </c>
      <c r="G34" s="11" t="s">
        <v>399</v>
      </c>
    </row>
    <row r="35" spans="2:7" x14ac:dyDescent="0.25">
      <c r="B35" s="3">
        <v>10949158</v>
      </c>
      <c r="C35" s="2" t="s">
        <v>19</v>
      </c>
      <c r="D35" s="2" t="s">
        <v>94</v>
      </c>
      <c r="E35" s="2" t="s">
        <v>599</v>
      </c>
      <c r="F35" s="2" t="s">
        <v>797</v>
      </c>
      <c r="G35" s="11" t="s">
        <v>400</v>
      </c>
    </row>
    <row r="36" spans="2:7" x14ac:dyDescent="0.25">
      <c r="B36" s="3">
        <v>10925718</v>
      </c>
      <c r="C36" s="2" t="s">
        <v>95</v>
      </c>
      <c r="D36" s="2" t="s">
        <v>79</v>
      </c>
      <c r="E36" s="2" t="s">
        <v>600</v>
      </c>
      <c r="F36" s="2" t="s">
        <v>798</v>
      </c>
      <c r="G36" s="11" t="s">
        <v>401</v>
      </c>
    </row>
    <row r="37" spans="2:7" x14ac:dyDescent="0.25">
      <c r="B37" s="3">
        <v>10933967</v>
      </c>
      <c r="C37" s="2" t="s">
        <v>95</v>
      </c>
      <c r="D37" s="2" t="s">
        <v>96</v>
      </c>
      <c r="E37" s="2" t="s">
        <v>601</v>
      </c>
      <c r="F37" s="2" t="s">
        <v>799</v>
      </c>
      <c r="G37" s="11" t="s">
        <v>402</v>
      </c>
    </row>
    <row r="38" spans="2:7" x14ac:dyDescent="0.25">
      <c r="B38" s="3">
        <v>10907178</v>
      </c>
      <c r="C38" s="2" t="s">
        <v>98</v>
      </c>
      <c r="D38" s="2" t="s">
        <v>99</v>
      </c>
      <c r="E38" s="2" t="s">
        <v>602</v>
      </c>
      <c r="F38" s="2" t="s">
        <v>800</v>
      </c>
      <c r="G38" s="11" t="s">
        <v>403</v>
      </c>
    </row>
    <row r="39" spans="2:7" x14ac:dyDescent="0.25">
      <c r="B39" s="3">
        <v>10935769</v>
      </c>
      <c r="C39" s="2" t="s">
        <v>100</v>
      </c>
      <c r="D39" s="2" t="s">
        <v>101</v>
      </c>
      <c r="E39" s="2" t="s">
        <v>603</v>
      </c>
      <c r="F39" s="2" t="s">
        <v>801</v>
      </c>
      <c r="G39" s="11" t="s">
        <v>404</v>
      </c>
    </row>
    <row r="40" spans="2:7" x14ac:dyDescent="0.25">
      <c r="B40" s="3">
        <v>10910203</v>
      </c>
      <c r="C40" s="2" t="s">
        <v>102</v>
      </c>
      <c r="D40" s="2" t="s">
        <v>103</v>
      </c>
      <c r="E40" s="2" t="s">
        <v>604</v>
      </c>
      <c r="F40" s="2" t="s">
        <v>802</v>
      </c>
      <c r="G40" s="11" t="s">
        <v>405</v>
      </c>
    </row>
    <row r="41" spans="2:7" x14ac:dyDescent="0.25">
      <c r="B41" s="3">
        <v>10944124</v>
      </c>
      <c r="C41" s="2" t="s">
        <v>104</v>
      </c>
      <c r="D41" s="2" t="s">
        <v>105</v>
      </c>
      <c r="E41" s="2" t="s">
        <v>605</v>
      </c>
      <c r="F41" s="2" t="s">
        <v>803</v>
      </c>
      <c r="G41" s="11" t="s">
        <v>406</v>
      </c>
    </row>
    <row r="42" spans="2:7" x14ac:dyDescent="0.25">
      <c r="B42" s="3">
        <v>10940613</v>
      </c>
      <c r="C42" s="2" t="s">
        <v>106</v>
      </c>
      <c r="D42" s="2" t="s">
        <v>107</v>
      </c>
      <c r="E42" s="2" t="s">
        <v>606</v>
      </c>
      <c r="F42" s="2" t="s">
        <v>804</v>
      </c>
      <c r="G42" s="11" t="s">
        <v>407</v>
      </c>
    </row>
    <row r="43" spans="2:7" x14ac:dyDescent="0.25">
      <c r="B43" s="3">
        <v>10967751</v>
      </c>
      <c r="C43" s="2" t="s">
        <v>108</v>
      </c>
      <c r="D43" s="2" t="s">
        <v>109</v>
      </c>
      <c r="E43" s="2" t="s">
        <v>607</v>
      </c>
      <c r="F43" s="2" t="s">
        <v>805</v>
      </c>
      <c r="G43" s="11" t="s">
        <v>408</v>
      </c>
    </row>
    <row r="44" spans="2:7" x14ac:dyDescent="0.25">
      <c r="B44" s="3">
        <v>10927040</v>
      </c>
      <c r="C44" s="2" t="s">
        <v>110</v>
      </c>
      <c r="D44" s="2" t="s">
        <v>111</v>
      </c>
      <c r="E44" s="2" t="s">
        <v>608</v>
      </c>
      <c r="F44" s="2" t="s">
        <v>806</v>
      </c>
      <c r="G44" s="11" t="s">
        <v>409</v>
      </c>
    </row>
    <row r="45" spans="2:7" x14ac:dyDescent="0.25">
      <c r="B45" s="3">
        <v>10915807</v>
      </c>
      <c r="C45" s="2" t="s">
        <v>112</v>
      </c>
      <c r="D45" s="2" t="s">
        <v>113</v>
      </c>
      <c r="E45" s="2" t="s">
        <v>609</v>
      </c>
      <c r="F45" s="2" t="s">
        <v>807</v>
      </c>
      <c r="G45" s="11" t="s">
        <v>410</v>
      </c>
    </row>
    <row r="46" spans="2:7" x14ac:dyDescent="0.25">
      <c r="B46" s="3">
        <v>10979234</v>
      </c>
      <c r="C46" s="2" t="s">
        <v>114</v>
      </c>
      <c r="D46" s="2" t="s">
        <v>87</v>
      </c>
      <c r="E46" s="2" t="s">
        <v>610</v>
      </c>
      <c r="F46" s="2" t="s">
        <v>808</v>
      </c>
      <c r="G46" s="11" t="s">
        <v>411</v>
      </c>
    </row>
    <row r="47" spans="2:7" x14ac:dyDescent="0.25">
      <c r="B47" s="3">
        <v>10933958</v>
      </c>
      <c r="C47" s="2" t="s">
        <v>115</v>
      </c>
      <c r="D47" s="2" t="s">
        <v>116</v>
      </c>
      <c r="E47" s="2" t="s">
        <v>611</v>
      </c>
      <c r="F47" s="2" t="s">
        <v>809</v>
      </c>
      <c r="G47" s="11" t="s">
        <v>412</v>
      </c>
    </row>
    <row r="48" spans="2:7" x14ac:dyDescent="0.25">
      <c r="B48" s="3">
        <v>10904436</v>
      </c>
      <c r="C48" s="2" t="s">
        <v>117</v>
      </c>
      <c r="D48" s="2" t="s">
        <v>118</v>
      </c>
      <c r="E48" s="2" t="s">
        <v>612</v>
      </c>
      <c r="F48" s="2" t="s">
        <v>810</v>
      </c>
      <c r="G48" s="11" t="s">
        <v>413</v>
      </c>
    </row>
    <row r="49" spans="2:7" x14ac:dyDescent="0.25">
      <c r="B49" s="3">
        <v>10975538</v>
      </c>
      <c r="C49" s="2" t="s">
        <v>119</v>
      </c>
      <c r="D49" s="2" t="s">
        <v>120</v>
      </c>
      <c r="E49" s="2" t="s">
        <v>613</v>
      </c>
      <c r="F49" s="2" t="s">
        <v>811</v>
      </c>
      <c r="G49" s="11" t="s">
        <v>414</v>
      </c>
    </row>
    <row r="50" spans="2:7" x14ac:dyDescent="0.25">
      <c r="B50" s="3">
        <v>10968909</v>
      </c>
      <c r="C50" s="2" t="s">
        <v>121</v>
      </c>
      <c r="D50" s="2" t="s">
        <v>97</v>
      </c>
      <c r="E50" s="2" t="s">
        <v>614</v>
      </c>
      <c r="F50" s="2" t="s">
        <v>812</v>
      </c>
      <c r="G50" s="11" t="s">
        <v>415</v>
      </c>
    </row>
    <row r="51" spans="2:7" x14ac:dyDescent="0.25">
      <c r="B51" s="3">
        <v>10902396</v>
      </c>
      <c r="C51" s="2" t="s">
        <v>122</v>
      </c>
      <c r="D51" s="2" t="s">
        <v>123</v>
      </c>
      <c r="E51" s="2" t="s">
        <v>615</v>
      </c>
      <c r="F51" s="2" t="s">
        <v>813</v>
      </c>
      <c r="G51" s="11" t="s">
        <v>416</v>
      </c>
    </row>
    <row r="52" spans="2:7" x14ac:dyDescent="0.25">
      <c r="B52" s="3">
        <v>10974432</v>
      </c>
      <c r="C52" s="2" t="s">
        <v>124</v>
      </c>
      <c r="D52" s="2" t="s">
        <v>125</v>
      </c>
      <c r="E52" s="2" t="s">
        <v>616</v>
      </c>
      <c r="F52" s="2" t="s">
        <v>814</v>
      </c>
      <c r="G52" s="11" t="s">
        <v>417</v>
      </c>
    </row>
    <row r="53" spans="2:7" x14ac:dyDescent="0.25">
      <c r="B53" s="3">
        <v>10915138</v>
      </c>
      <c r="C53" s="2" t="s">
        <v>112</v>
      </c>
      <c r="D53" s="2" t="s">
        <v>126</v>
      </c>
      <c r="E53" s="2" t="s">
        <v>617</v>
      </c>
      <c r="F53" s="2" t="s">
        <v>815</v>
      </c>
      <c r="G53" s="11" t="s">
        <v>418</v>
      </c>
    </row>
    <row r="54" spans="2:7" x14ac:dyDescent="0.25">
      <c r="B54" s="3">
        <v>10910486</v>
      </c>
      <c r="C54" s="2" t="s">
        <v>127</v>
      </c>
      <c r="D54" s="2" t="s">
        <v>128</v>
      </c>
      <c r="E54" s="2" t="s">
        <v>618</v>
      </c>
      <c r="F54" s="2" t="s">
        <v>816</v>
      </c>
      <c r="G54" s="11" t="s">
        <v>419</v>
      </c>
    </row>
    <row r="55" spans="2:7" x14ac:dyDescent="0.25">
      <c r="B55" s="3">
        <v>10967536</v>
      </c>
      <c r="C55" s="2" t="s">
        <v>129</v>
      </c>
      <c r="D55" s="2" t="s">
        <v>130</v>
      </c>
      <c r="E55" s="2" t="s">
        <v>619</v>
      </c>
      <c r="F55" s="2" t="s">
        <v>817</v>
      </c>
      <c r="G55" s="11" t="s">
        <v>420</v>
      </c>
    </row>
    <row r="56" spans="2:7" x14ac:dyDescent="0.25">
      <c r="B56" s="3">
        <v>10945057</v>
      </c>
      <c r="C56" s="2" t="s">
        <v>131</v>
      </c>
      <c r="D56" s="2" t="s">
        <v>64</v>
      </c>
      <c r="E56" s="2" t="s">
        <v>620</v>
      </c>
      <c r="F56" s="2" t="s">
        <v>818</v>
      </c>
      <c r="G56" s="11" t="s">
        <v>421</v>
      </c>
    </row>
    <row r="57" spans="2:7" x14ac:dyDescent="0.25">
      <c r="B57" s="3">
        <v>10968858</v>
      </c>
      <c r="C57" s="2" t="s">
        <v>132</v>
      </c>
      <c r="D57" s="2" t="s">
        <v>133</v>
      </c>
      <c r="E57" s="2" t="s">
        <v>621</v>
      </c>
      <c r="F57" s="2" t="s">
        <v>819</v>
      </c>
      <c r="G57" s="11" t="s">
        <v>422</v>
      </c>
    </row>
    <row r="58" spans="2:7" x14ac:dyDescent="0.25">
      <c r="B58" s="3">
        <v>10937328</v>
      </c>
      <c r="C58" s="2" t="s">
        <v>134</v>
      </c>
      <c r="D58" s="2" t="s">
        <v>27</v>
      </c>
      <c r="E58" s="2" t="s">
        <v>622</v>
      </c>
      <c r="F58" s="2" t="s">
        <v>820</v>
      </c>
      <c r="G58" s="11" t="s">
        <v>423</v>
      </c>
    </row>
    <row r="59" spans="2:7" x14ac:dyDescent="0.25">
      <c r="B59" s="3">
        <v>10902640</v>
      </c>
      <c r="C59" s="2" t="s">
        <v>135</v>
      </c>
      <c r="D59" s="2" t="s">
        <v>136</v>
      </c>
      <c r="E59" s="2" t="s">
        <v>623</v>
      </c>
      <c r="F59" s="2" t="s">
        <v>821</v>
      </c>
      <c r="G59" s="11" t="s">
        <v>424</v>
      </c>
    </row>
    <row r="60" spans="2:7" x14ac:dyDescent="0.25">
      <c r="B60" s="3">
        <v>10954519</v>
      </c>
      <c r="C60" s="2" t="s">
        <v>137</v>
      </c>
      <c r="D60" s="2" t="s">
        <v>138</v>
      </c>
      <c r="E60" s="2" t="s">
        <v>624</v>
      </c>
      <c r="F60" s="2" t="s">
        <v>822</v>
      </c>
      <c r="G60" s="11" t="s">
        <v>425</v>
      </c>
    </row>
    <row r="61" spans="2:7" x14ac:dyDescent="0.25">
      <c r="B61" s="3">
        <v>10942466</v>
      </c>
      <c r="C61" s="2" t="s">
        <v>139</v>
      </c>
      <c r="D61" s="2" t="s">
        <v>140</v>
      </c>
      <c r="E61" s="2" t="s">
        <v>625</v>
      </c>
      <c r="F61" s="2" t="s">
        <v>823</v>
      </c>
      <c r="G61" s="11" t="s">
        <v>426</v>
      </c>
    </row>
    <row r="62" spans="2:7" x14ac:dyDescent="0.25">
      <c r="B62" s="3">
        <v>10950091</v>
      </c>
      <c r="C62" s="2" t="s">
        <v>141</v>
      </c>
      <c r="D62" s="2" t="s">
        <v>142</v>
      </c>
      <c r="E62" s="2" t="s">
        <v>626</v>
      </c>
      <c r="F62" s="2" t="s">
        <v>824</v>
      </c>
      <c r="G62" s="11" t="s">
        <v>427</v>
      </c>
    </row>
    <row r="63" spans="2:7" x14ac:dyDescent="0.25">
      <c r="B63" s="3">
        <v>10919176</v>
      </c>
      <c r="C63" s="2" t="s">
        <v>143</v>
      </c>
      <c r="D63" s="2" t="s">
        <v>144</v>
      </c>
      <c r="E63" s="2" t="s">
        <v>627</v>
      </c>
      <c r="F63" s="2" t="s">
        <v>825</v>
      </c>
      <c r="G63" s="11" t="s">
        <v>428</v>
      </c>
    </row>
    <row r="64" spans="2:7" x14ac:dyDescent="0.25">
      <c r="B64" s="3">
        <v>10904799</v>
      </c>
      <c r="C64" s="2" t="s">
        <v>145</v>
      </c>
      <c r="D64" s="2" t="s">
        <v>146</v>
      </c>
      <c r="E64" s="2" t="s">
        <v>628</v>
      </c>
      <c r="F64" s="2" t="s">
        <v>826</v>
      </c>
      <c r="G64" s="11" t="s">
        <v>429</v>
      </c>
    </row>
    <row r="65" spans="2:7" x14ac:dyDescent="0.25">
      <c r="B65" s="3">
        <v>10952123</v>
      </c>
      <c r="C65" s="2" t="s">
        <v>147</v>
      </c>
      <c r="D65" s="2" t="s">
        <v>148</v>
      </c>
      <c r="E65" s="2" t="s">
        <v>629</v>
      </c>
      <c r="F65" s="2" t="s">
        <v>827</v>
      </c>
      <c r="G65" s="11" t="s">
        <v>430</v>
      </c>
    </row>
    <row r="66" spans="2:7" x14ac:dyDescent="0.25">
      <c r="B66" s="3">
        <v>10957834</v>
      </c>
      <c r="C66" s="2" t="s">
        <v>149</v>
      </c>
      <c r="D66" s="2" t="s">
        <v>150</v>
      </c>
      <c r="E66" s="2" t="s">
        <v>630</v>
      </c>
      <c r="F66" s="2" t="s">
        <v>828</v>
      </c>
      <c r="G66" s="11" t="s">
        <v>431</v>
      </c>
    </row>
    <row r="67" spans="2:7" x14ac:dyDescent="0.25">
      <c r="B67" s="3">
        <v>10966429</v>
      </c>
      <c r="C67" s="2" t="s">
        <v>151</v>
      </c>
      <c r="D67" s="2" t="s">
        <v>152</v>
      </c>
      <c r="E67" s="2" t="s">
        <v>631</v>
      </c>
      <c r="F67" s="2" t="s">
        <v>829</v>
      </c>
      <c r="G67" s="11" t="s">
        <v>432</v>
      </c>
    </row>
    <row r="68" spans="2:7" x14ac:dyDescent="0.25">
      <c r="B68" s="3">
        <v>10900884</v>
      </c>
      <c r="C68" s="2" t="s">
        <v>153</v>
      </c>
      <c r="D68" s="2" t="s">
        <v>154</v>
      </c>
      <c r="E68" s="2" t="s">
        <v>632</v>
      </c>
      <c r="F68" s="2" t="s">
        <v>830</v>
      </c>
      <c r="G68" s="11" t="s">
        <v>433</v>
      </c>
    </row>
    <row r="69" spans="2:7" x14ac:dyDescent="0.25">
      <c r="B69" s="3">
        <v>10951161</v>
      </c>
      <c r="C69" s="2" t="s">
        <v>155</v>
      </c>
      <c r="D69" s="2" t="s">
        <v>156</v>
      </c>
      <c r="E69" s="2" t="s">
        <v>633</v>
      </c>
      <c r="F69" s="2" t="s">
        <v>831</v>
      </c>
      <c r="G69" s="11" t="s">
        <v>434</v>
      </c>
    </row>
    <row r="70" spans="2:7" x14ac:dyDescent="0.25">
      <c r="B70" s="3">
        <v>10931003</v>
      </c>
      <c r="C70" s="2" t="s">
        <v>157</v>
      </c>
      <c r="D70" s="2" t="s">
        <v>158</v>
      </c>
      <c r="E70" s="2" t="s">
        <v>634</v>
      </c>
      <c r="F70" s="2" t="s">
        <v>832</v>
      </c>
      <c r="G70" s="11" t="s">
        <v>435</v>
      </c>
    </row>
    <row r="71" spans="2:7" x14ac:dyDescent="0.25">
      <c r="B71" s="3">
        <v>10962794</v>
      </c>
      <c r="C71" s="2" t="s">
        <v>159</v>
      </c>
      <c r="D71" s="2" t="s">
        <v>160</v>
      </c>
      <c r="E71" s="2" t="s">
        <v>635</v>
      </c>
      <c r="F71" s="2" t="s">
        <v>833</v>
      </c>
      <c r="G71" s="11" t="s">
        <v>436</v>
      </c>
    </row>
    <row r="72" spans="2:7" x14ac:dyDescent="0.25">
      <c r="B72" s="3">
        <v>10908658</v>
      </c>
      <c r="C72" s="2" t="s">
        <v>161</v>
      </c>
      <c r="D72" s="2" t="s">
        <v>162</v>
      </c>
      <c r="E72" s="2" t="s">
        <v>636</v>
      </c>
      <c r="F72" s="2" t="s">
        <v>834</v>
      </c>
      <c r="G72" s="11" t="s">
        <v>437</v>
      </c>
    </row>
    <row r="73" spans="2:7" x14ac:dyDescent="0.25">
      <c r="B73" s="3">
        <v>10901734</v>
      </c>
      <c r="C73" s="2" t="s">
        <v>163</v>
      </c>
      <c r="D73" s="2" t="s">
        <v>164</v>
      </c>
      <c r="E73" s="2" t="s">
        <v>637</v>
      </c>
      <c r="F73" s="2" t="s">
        <v>835</v>
      </c>
      <c r="G73" s="11" t="s">
        <v>438</v>
      </c>
    </row>
    <row r="74" spans="2:7" x14ac:dyDescent="0.25">
      <c r="B74" s="3">
        <v>10989778</v>
      </c>
      <c r="C74" s="2" t="s">
        <v>165</v>
      </c>
      <c r="D74" s="2" t="s">
        <v>44</v>
      </c>
      <c r="E74" s="2" t="s">
        <v>638</v>
      </c>
      <c r="F74" s="2" t="s">
        <v>836</v>
      </c>
      <c r="G74" s="11" t="s">
        <v>439</v>
      </c>
    </row>
    <row r="75" spans="2:7" x14ac:dyDescent="0.25">
      <c r="B75" s="3">
        <v>10966209</v>
      </c>
      <c r="C75" s="2" t="s">
        <v>166</v>
      </c>
      <c r="D75" s="2" t="s">
        <v>167</v>
      </c>
      <c r="E75" s="2" t="s">
        <v>639</v>
      </c>
      <c r="F75" s="2" t="s">
        <v>837</v>
      </c>
      <c r="G75" s="11" t="s">
        <v>440</v>
      </c>
    </row>
    <row r="76" spans="2:7" x14ac:dyDescent="0.25">
      <c r="B76" s="3">
        <v>10961683</v>
      </c>
      <c r="C76" s="2" t="s">
        <v>168</v>
      </c>
      <c r="D76" s="2" t="s">
        <v>169</v>
      </c>
      <c r="E76" s="2" t="s">
        <v>640</v>
      </c>
      <c r="F76" s="2" t="s">
        <v>838</v>
      </c>
      <c r="G76" s="11" t="s">
        <v>441</v>
      </c>
    </row>
    <row r="77" spans="2:7" x14ac:dyDescent="0.25">
      <c r="B77" s="3">
        <v>10956955</v>
      </c>
      <c r="C77" s="2" t="s">
        <v>170</v>
      </c>
      <c r="D77" s="2" t="s">
        <v>93</v>
      </c>
      <c r="E77" s="2" t="s">
        <v>641</v>
      </c>
      <c r="F77" s="2" t="s">
        <v>839</v>
      </c>
      <c r="G77" s="11" t="s">
        <v>442</v>
      </c>
    </row>
    <row r="78" spans="2:7" x14ac:dyDescent="0.25">
      <c r="B78" s="3">
        <v>10916615</v>
      </c>
      <c r="C78" s="2" t="s">
        <v>171</v>
      </c>
      <c r="D78" s="2" t="s">
        <v>172</v>
      </c>
      <c r="E78" s="2" t="s">
        <v>642</v>
      </c>
      <c r="F78" s="2" t="s">
        <v>840</v>
      </c>
      <c r="G78" s="11" t="s">
        <v>443</v>
      </c>
    </row>
    <row r="79" spans="2:7" x14ac:dyDescent="0.25">
      <c r="B79" s="3">
        <v>10916542</v>
      </c>
      <c r="C79" s="2" t="s">
        <v>173</v>
      </c>
      <c r="D79" s="2" t="s">
        <v>174</v>
      </c>
      <c r="E79" s="2" t="s">
        <v>643</v>
      </c>
      <c r="F79" s="2" t="s">
        <v>841</v>
      </c>
      <c r="G79" s="11" t="s">
        <v>444</v>
      </c>
    </row>
    <row r="80" spans="2:7" x14ac:dyDescent="0.25">
      <c r="B80" s="3">
        <v>10970083</v>
      </c>
      <c r="C80" s="2" t="s">
        <v>175</v>
      </c>
      <c r="D80" s="2" t="s">
        <v>44</v>
      </c>
      <c r="E80" s="2" t="s">
        <v>644</v>
      </c>
      <c r="F80" s="2" t="s">
        <v>842</v>
      </c>
      <c r="G80" s="11" t="s">
        <v>445</v>
      </c>
    </row>
    <row r="81" spans="2:7" x14ac:dyDescent="0.25">
      <c r="B81" s="3">
        <v>10928743</v>
      </c>
      <c r="C81" s="2" t="s">
        <v>176</v>
      </c>
      <c r="D81" s="2" t="s">
        <v>177</v>
      </c>
      <c r="E81" s="2" t="s">
        <v>645</v>
      </c>
      <c r="F81" s="2" t="s">
        <v>843</v>
      </c>
      <c r="G81" s="11" t="s">
        <v>446</v>
      </c>
    </row>
    <row r="82" spans="2:7" x14ac:dyDescent="0.25">
      <c r="B82" s="3">
        <v>10974125</v>
      </c>
      <c r="C82" s="2" t="s">
        <v>178</v>
      </c>
      <c r="D82" s="2" t="s">
        <v>81</v>
      </c>
      <c r="E82" s="2" t="s">
        <v>646</v>
      </c>
      <c r="F82" s="2" t="s">
        <v>844</v>
      </c>
      <c r="G82" s="11" t="s">
        <v>447</v>
      </c>
    </row>
    <row r="83" spans="2:7" x14ac:dyDescent="0.25">
      <c r="B83" s="3">
        <v>10959286</v>
      </c>
      <c r="C83" s="2" t="s">
        <v>179</v>
      </c>
      <c r="D83" s="2" t="s">
        <v>180</v>
      </c>
      <c r="E83" s="2" t="s">
        <v>647</v>
      </c>
      <c r="F83" s="2" t="s">
        <v>845</v>
      </c>
      <c r="G83" s="11" t="s">
        <v>448</v>
      </c>
    </row>
    <row r="84" spans="2:7" x14ac:dyDescent="0.25">
      <c r="B84" s="3">
        <v>10983326</v>
      </c>
      <c r="C84" s="2" t="s">
        <v>80</v>
      </c>
      <c r="D84" s="2" t="s">
        <v>13</v>
      </c>
      <c r="E84" s="2" t="s">
        <v>648</v>
      </c>
      <c r="F84" s="2" t="s">
        <v>846</v>
      </c>
      <c r="G84" s="11" t="s">
        <v>394</v>
      </c>
    </row>
    <row r="85" spans="2:7" x14ac:dyDescent="0.25">
      <c r="B85" s="3">
        <v>10925046</v>
      </c>
      <c r="C85" s="2" t="s">
        <v>182</v>
      </c>
      <c r="D85" s="2" t="s">
        <v>183</v>
      </c>
      <c r="E85" s="2" t="s">
        <v>649</v>
      </c>
      <c r="F85" s="2" t="s">
        <v>847</v>
      </c>
      <c r="G85" s="11" t="s">
        <v>449</v>
      </c>
    </row>
    <row r="86" spans="2:7" x14ac:dyDescent="0.25">
      <c r="B86" s="3">
        <v>10909433</v>
      </c>
      <c r="C86" s="2" t="s">
        <v>182</v>
      </c>
      <c r="D86" s="2" t="s">
        <v>184</v>
      </c>
      <c r="E86" s="2" t="s">
        <v>650</v>
      </c>
      <c r="F86" s="2" t="s">
        <v>848</v>
      </c>
      <c r="G86" s="11" t="s">
        <v>450</v>
      </c>
    </row>
    <row r="87" spans="2:7" x14ac:dyDescent="0.25">
      <c r="B87" s="3">
        <v>10993208</v>
      </c>
      <c r="C87" s="2" t="s">
        <v>185</v>
      </c>
      <c r="D87" s="2" t="s">
        <v>186</v>
      </c>
      <c r="E87" s="2" t="s">
        <v>651</v>
      </c>
      <c r="F87" s="2" t="s">
        <v>849</v>
      </c>
      <c r="G87" s="11" t="s">
        <v>451</v>
      </c>
    </row>
    <row r="88" spans="2:7" x14ac:dyDescent="0.25">
      <c r="B88" s="3">
        <v>10957665</v>
      </c>
      <c r="C88" s="2" t="s">
        <v>187</v>
      </c>
      <c r="D88" s="2" t="s">
        <v>188</v>
      </c>
      <c r="E88" s="2" t="s">
        <v>652</v>
      </c>
      <c r="F88" s="2" t="s">
        <v>850</v>
      </c>
      <c r="G88" s="11" t="s">
        <v>452</v>
      </c>
    </row>
    <row r="89" spans="2:7" x14ac:dyDescent="0.25">
      <c r="B89" s="3">
        <v>10962980</v>
      </c>
      <c r="C89" s="2" t="s">
        <v>189</v>
      </c>
      <c r="D89" s="2" t="s">
        <v>190</v>
      </c>
      <c r="E89" s="2" t="s">
        <v>653</v>
      </c>
      <c r="F89" s="2" t="s">
        <v>851</v>
      </c>
      <c r="G89" s="11" t="s">
        <v>453</v>
      </c>
    </row>
    <row r="90" spans="2:7" x14ac:dyDescent="0.25">
      <c r="B90" s="3">
        <v>10925014</v>
      </c>
      <c r="C90" s="2" t="s">
        <v>191</v>
      </c>
      <c r="D90" s="2" t="s">
        <v>192</v>
      </c>
      <c r="E90" s="2" t="s">
        <v>654</v>
      </c>
      <c r="F90" s="2" t="s">
        <v>852</v>
      </c>
      <c r="G90" s="11" t="s">
        <v>454</v>
      </c>
    </row>
    <row r="91" spans="2:7" x14ac:dyDescent="0.25">
      <c r="B91" s="3">
        <v>10900736</v>
      </c>
      <c r="C91" s="2" t="s">
        <v>193</v>
      </c>
      <c r="D91" s="2" t="s">
        <v>194</v>
      </c>
      <c r="E91" s="2" t="s">
        <v>655</v>
      </c>
      <c r="F91" s="2" t="s">
        <v>853</v>
      </c>
      <c r="G91" s="11" t="s">
        <v>455</v>
      </c>
    </row>
    <row r="92" spans="2:7" x14ac:dyDescent="0.25">
      <c r="B92" s="3">
        <v>10959630</v>
      </c>
      <c r="C92" s="2" t="s">
        <v>195</v>
      </c>
      <c r="D92" s="2" t="s">
        <v>196</v>
      </c>
      <c r="E92" s="2" t="s">
        <v>656</v>
      </c>
      <c r="F92" s="2" t="s">
        <v>854</v>
      </c>
      <c r="G92" s="11" t="s">
        <v>456</v>
      </c>
    </row>
    <row r="93" spans="2:7" x14ac:dyDescent="0.25">
      <c r="B93" s="3">
        <v>10910166</v>
      </c>
      <c r="C93" s="2" t="s">
        <v>197</v>
      </c>
      <c r="D93" s="2" t="s">
        <v>198</v>
      </c>
      <c r="E93" s="2" t="s">
        <v>657</v>
      </c>
      <c r="F93" s="2" t="s">
        <v>855</v>
      </c>
      <c r="G93" s="11" t="s">
        <v>457</v>
      </c>
    </row>
    <row r="94" spans="2:7" x14ac:dyDescent="0.25">
      <c r="B94" s="3">
        <v>10952295</v>
      </c>
      <c r="C94" s="2" t="s">
        <v>199</v>
      </c>
      <c r="D94" s="2" t="s">
        <v>200</v>
      </c>
      <c r="E94" s="2" t="s">
        <v>658</v>
      </c>
      <c r="F94" s="2" t="s">
        <v>856</v>
      </c>
      <c r="G94" s="11" t="s">
        <v>458</v>
      </c>
    </row>
    <row r="95" spans="2:7" x14ac:dyDescent="0.25">
      <c r="B95" s="3">
        <v>10967105</v>
      </c>
      <c r="C95" s="2" t="s">
        <v>201</v>
      </c>
      <c r="D95" s="2" t="s">
        <v>202</v>
      </c>
      <c r="E95" s="2" t="s">
        <v>659</v>
      </c>
      <c r="F95" s="2" t="s">
        <v>857</v>
      </c>
      <c r="G95" s="11" t="s">
        <v>459</v>
      </c>
    </row>
    <row r="96" spans="2:7" x14ac:dyDescent="0.25">
      <c r="B96" s="3">
        <v>10949224</v>
      </c>
      <c r="C96" s="2" t="s">
        <v>203</v>
      </c>
      <c r="D96" s="2" t="s">
        <v>31</v>
      </c>
      <c r="E96" s="2" t="s">
        <v>660</v>
      </c>
      <c r="F96" s="2" t="s">
        <v>858</v>
      </c>
      <c r="G96" s="11" t="s">
        <v>460</v>
      </c>
    </row>
    <row r="97" spans="2:7" x14ac:dyDescent="0.25">
      <c r="B97" s="3">
        <v>10977107</v>
      </c>
      <c r="C97" s="2" t="s">
        <v>75</v>
      </c>
      <c r="D97" s="2" t="s">
        <v>204</v>
      </c>
      <c r="E97" s="2" t="s">
        <v>661</v>
      </c>
      <c r="F97" s="2" t="s">
        <v>859</v>
      </c>
      <c r="G97" s="11" t="s">
        <v>461</v>
      </c>
    </row>
    <row r="98" spans="2:7" x14ac:dyDescent="0.25">
      <c r="B98" s="3">
        <v>10921089</v>
      </c>
      <c r="C98" s="2" t="s">
        <v>205</v>
      </c>
      <c r="D98" s="2" t="s">
        <v>206</v>
      </c>
      <c r="E98" s="2" t="s">
        <v>662</v>
      </c>
      <c r="F98" s="2" t="s">
        <v>860</v>
      </c>
      <c r="G98" s="11" t="s">
        <v>462</v>
      </c>
    </row>
    <row r="99" spans="2:7" x14ac:dyDescent="0.25">
      <c r="B99" s="3">
        <v>10986969</v>
      </c>
      <c r="C99" s="2" t="s">
        <v>17</v>
      </c>
      <c r="D99" s="2" t="s">
        <v>207</v>
      </c>
      <c r="E99" s="2" t="s">
        <v>663</v>
      </c>
      <c r="F99" s="2" t="s">
        <v>861</v>
      </c>
      <c r="G99" s="11" t="s">
        <v>463</v>
      </c>
    </row>
    <row r="100" spans="2:7" x14ac:dyDescent="0.25">
      <c r="B100" s="3">
        <v>10931024</v>
      </c>
      <c r="C100" s="2" t="s">
        <v>208</v>
      </c>
      <c r="D100" s="2" t="s">
        <v>90</v>
      </c>
      <c r="E100" s="2" t="s">
        <v>664</v>
      </c>
      <c r="F100" s="2" t="s">
        <v>862</v>
      </c>
      <c r="G100" s="11" t="s">
        <v>464</v>
      </c>
    </row>
    <row r="101" spans="2:7" x14ac:dyDescent="0.25">
      <c r="B101" s="3">
        <v>10909638</v>
      </c>
      <c r="C101" s="2" t="s">
        <v>209</v>
      </c>
      <c r="D101" s="2" t="s">
        <v>210</v>
      </c>
      <c r="E101" s="2" t="s">
        <v>665</v>
      </c>
      <c r="F101" s="2" t="s">
        <v>863</v>
      </c>
      <c r="G101" s="11" t="s">
        <v>465</v>
      </c>
    </row>
    <row r="102" spans="2:7" x14ac:dyDescent="0.25">
      <c r="B102" s="3">
        <v>10999183</v>
      </c>
      <c r="C102" s="2" t="s">
        <v>211</v>
      </c>
      <c r="D102" s="2" t="s">
        <v>212</v>
      </c>
      <c r="E102" s="2" t="s">
        <v>666</v>
      </c>
      <c r="F102" s="2" t="s">
        <v>864</v>
      </c>
      <c r="G102" s="11" t="s">
        <v>466</v>
      </c>
    </row>
    <row r="103" spans="2:7" x14ac:dyDescent="0.25">
      <c r="B103" s="3">
        <v>10999325</v>
      </c>
      <c r="C103" s="2" t="s">
        <v>213</v>
      </c>
      <c r="D103" s="2" t="s">
        <v>133</v>
      </c>
      <c r="E103" s="2" t="s">
        <v>667</v>
      </c>
      <c r="F103" s="2" t="s">
        <v>865</v>
      </c>
      <c r="G103" s="11" t="s">
        <v>467</v>
      </c>
    </row>
    <row r="104" spans="2:7" x14ac:dyDescent="0.25">
      <c r="B104" s="3">
        <v>10941585</v>
      </c>
      <c r="C104" s="2" t="s">
        <v>214</v>
      </c>
      <c r="D104" s="2" t="s">
        <v>133</v>
      </c>
      <c r="E104" s="2" t="s">
        <v>668</v>
      </c>
      <c r="F104" s="2" t="s">
        <v>866</v>
      </c>
      <c r="G104" s="11" t="s">
        <v>468</v>
      </c>
    </row>
    <row r="105" spans="2:7" x14ac:dyDescent="0.25">
      <c r="B105" s="3">
        <v>10999620</v>
      </c>
      <c r="C105" s="2" t="s">
        <v>215</v>
      </c>
      <c r="D105" s="2" t="s">
        <v>44</v>
      </c>
      <c r="E105" s="2" t="s">
        <v>669</v>
      </c>
      <c r="F105" s="2" t="s">
        <v>867</v>
      </c>
      <c r="G105" s="11" t="s">
        <v>469</v>
      </c>
    </row>
    <row r="106" spans="2:7" x14ac:dyDescent="0.25">
      <c r="B106" s="3">
        <v>10954402</v>
      </c>
      <c r="C106" s="2" t="s">
        <v>216</v>
      </c>
      <c r="D106" s="2" t="s">
        <v>217</v>
      </c>
      <c r="E106" s="2" t="s">
        <v>670</v>
      </c>
      <c r="F106" s="2" t="s">
        <v>868</v>
      </c>
      <c r="G106" s="11" t="s">
        <v>470</v>
      </c>
    </row>
    <row r="107" spans="2:7" x14ac:dyDescent="0.25">
      <c r="B107" s="3">
        <v>10911196</v>
      </c>
      <c r="C107" s="2" t="s">
        <v>218</v>
      </c>
      <c r="D107" s="2" t="s">
        <v>219</v>
      </c>
      <c r="E107" s="2" t="s">
        <v>671</v>
      </c>
      <c r="F107" s="2" t="s">
        <v>869</v>
      </c>
      <c r="G107" s="11" t="s">
        <v>471</v>
      </c>
    </row>
    <row r="108" spans="2:7" x14ac:dyDescent="0.25">
      <c r="B108" s="3">
        <v>10976860</v>
      </c>
      <c r="C108" s="2" t="s">
        <v>220</v>
      </c>
      <c r="D108" s="2" t="s">
        <v>221</v>
      </c>
      <c r="E108" s="2" t="s">
        <v>672</v>
      </c>
      <c r="F108" s="2" t="s">
        <v>870</v>
      </c>
      <c r="G108" s="11" t="s">
        <v>472</v>
      </c>
    </row>
    <row r="109" spans="2:7" x14ac:dyDescent="0.25">
      <c r="B109" s="3">
        <v>10993294</v>
      </c>
      <c r="C109" s="2" t="s">
        <v>223</v>
      </c>
      <c r="D109" s="2" t="s">
        <v>224</v>
      </c>
      <c r="E109" s="2" t="s">
        <v>673</v>
      </c>
      <c r="F109" s="2" t="s">
        <v>871</v>
      </c>
      <c r="G109" s="11" t="s">
        <v>473</v>
      </c>
    </row>
    <row r="110" spans="2:7" x14ac:dyDescent="0.25">
      <c r="B110" s="3">
        <v>10985636</v>
      </c>
      <c r="C110" s="2" t="s">
        <v>225</v>
      </c>
      <c r="D110" s="2" t="s">
        <v>44</v>
      </c>
      <c r="E110" s="2" t="s">
        <v>674</v>
      </c>
      <c r="F110" s="2" t="s">
        <v>872</v>
      </c>
      <c r="G110" s="11" t="s">
        <v>474</v>
      </c>
    </row>
    <row r="111" spans="2:7" x14ac:dyDescent="0.25">
      <c r="B111" s="3">
        <v>10911772</v>
      </c>
      <c r="C111" s="2" t="s">
        <v>226</v>
      </c>
      <c r="D111" s="2" t="s">
        <v>227</v>
      </c>
      <c r="E111" s="2" t="s">
        <v>675</v>
      </c>
      <c r="F111" s="2" t="s">
        <v>873</v>
      </c>
      <c r="G111" s="11" t="s">
        <v>475</v>
      </c>
    </row>
    <row r="112" spans="2:7" x14ac:dyDescent="0.25">
      <c r="B112" s="3">
        <v>10975534</v>
      </c>
      <c r="C112" s="2" t="s">
        <v>228</v>
      </c>
      <c r="D112" s="2" t="s">
        <v>229</v>
      </c>
      <c r="E112" s="2" t="s">
        <v>676</v>
      </c>
      <c r="F112" s="2" t="s">
        <v>874</v>
      </c>
      <c r="G112" s="11" t="s">
        <v>476</v>
      </c>
    </row>
    <row r="113" spans="2:7" x14ac:dyDescent="0.25">
      <c r="B113" s="3">
        <v>10978380</v>
      </c>
      <c r="C113" s="2" t="s">
        <v>230</v>
      </c>
      <c r="D113" s="2" t="s">
        <v>231</v>
      </c>
      <c r="E113" s="2" t="s">
        <v>644</v>
      </c>
      <c r="F113" s="2" t="s">
        <v>875</v>
      </c>
      <c r="G113" s="11" t="s">
        <v>477</v>
      </c>
    </row>
    <row r="114" spans="2:7" x14ac:dyDescent="0.25">
      <c r="B114" s="3">
        <v>10948876</v>
      </c>
      <c r="C114" s="2" t="s">
        <v>232</v>
      </c>
      <c r="D114" s="2" t="s">
        <v>233</v>
      </c>
      <c r="E114" s="2" t="s">
        <v>677</v>
      </c>
      <c r="F114" s="2" t="s">
        <v>876</v>
      </c>
      <c r="G114" s="11" t="s">
        <v>478</v>
      </c>
    </row>
    <row r="115" spans="2:7" x14ac:dyDescent="0.25">
      <c r="B115" s="3">
        <v>10941573</v>
      </c>
      <c r="C115" s="2" t="s">
        <v>58</v>
      </c>
      <c r="D115" s="2" t="s">
        <v>222</v>
      </c>
      <c r="E115" s="2" t="s">
        <v>678</v>
      </c>
      <c r="F115" s="2" t="s">
        <v>877</v>
      </c>
      <c r="G115" s="11" t="s">
        <v>479</v>
      </c>
    </row>
    <row r="116" spans="2:7" x14ac:dyDescent="0.25">
      <c r="B116" s="3">
        <v>10968167</v>
      </c>
      <c r="C116" s="2" t="s">
        <v>205</v>
      </c>
      <c r="D116" s="2" t="s">
        <v>235</v>
      </c>
      <c r="E116" s="2" t="s">
        <v>679</v>
      </c>
      <c r="F116" s="2" t="s">
        <v>878</v>
      </c>
      <c r="G116" s="11" t="s">
        <v>480</v>
      </c>
    </row>
    <row r="117" spans="2:7" x14ac:dyDescent="0.25">
      <c r="B117" s="3">
        <v>10980015</v>
      </c>
      <c r="C117" s="2" t="s">
        <v>134</v>
      </c>
      <c r="D117" s="2" t="s">
        <v>236</v>
      </c>
      <c r="E117" s="2" t="s">
        <v>680</v>
      </c>
      <c r="F117" s="2" t="s">
        <v>879</v>
      </c>
      <c r="G117" s="11" t="s">
        <v>481</v>
      </c>
    </row>
    <row r="118" spans="2:7" x14ac:dyDescent="0.25">
      <c r="B118" s="3">
        <v>10900595</v>
      </c>
      <c r="C118" s="2" t="s">
        <v>237</v>
      </c>
      <c r="D118" s="2" t="s">
        <v>165</v>
      </c>
      <c r="E118" s="2" t="s">
        <v>681</v>
      </c>
      <c r="F118" s="2" t="s">
        <v>880</v>
      </c>
      <c r="G118" s="11" t="s">
        <v>482</v>
      </c>
    </row>
    <row r="119" spans="2:7" x14ac:dyDescent="0.25">
      <c r="B119" s="3">
        <v>10996210</v>
      </c>
      <c r="C119" s="2" t="s">
        <v>239</v>
      </c>
      <c r="D119" s="2" t="s">
        <v>240</v>
      </c>
      <c r="E119" s="2" t="s">
        <v>682</v>
      </c>
      <c r="F119" s="2" t="s">
        <v>881</v>
      </c>
      <c r="G119" s="11" t="s">
        <v>483</v>
      </c>
    </row>
    <row r="120" spans="2:7" x14ac:dyDescent="0.25">
      <c r="B120" s="3">
        <v>10908750</v>
      </c>
      <c r="C120" s="2" t="s">
        <v>241</v>
      </c>
      <c r="D120" s="2" t="s">
        <v>111</v>
      </c>
      <c r="E120" s="2" t="s">
        <v>683</v>
      </c>
      <c r="F120" s="2" t="s">
        <v>882</v>
      </c>
      <c r="G120" s="11" t="s">
        <v>484</v>
      </c>
    </row>
    <row r="121" spans="2:7" x14ac:dyDescent="0.25">
      <c r="B121" s="3">
        <v>10921838</v>
      </c>
      <c r="C121" s="2" t="s">
        <v>242</v>
      </c>
      <c r="D121" s="2" t="s">
        <v>243</v>
      </c>
      <c r="E121" s="2" t="s">
        <v>684</v>
      </c>
      <c r="F121" s="2" t="s">
        <v>883</v>
      </c>
      <c r="G121" s="11" t="s">
        <v>485</v>
      </c>
    </row>
    <row r="122" spans="2:7" x14ac:dyDescent="0.25">
      <c r="B122" s="3">
        <v>10909363</v>
      </c>
      <c r="C122" s="2" t="s">
        <v>244</v>
      </c>
      <c r="D122" s="2" t="s">
        <v>245</v>
      </c>
      <c r="E122" s="2" t="s">
        <v>685</v>
      </c>
      <c r="F122" s="2" t="s">
        <v>884</v>
      </c>
      <c r="G122" s="11" t="s">
        <v>486</v>
      </c>
    </row>
    <row r="123" spans="2:7" x14ac:dyDescent="0.25">
      <c r="B123" s="3">
        <v>10997688</v>
      </c>
      <c r="C123" s="2" t="s">
        <v>14</v>
      </c>
      <c r="D123" s="2" t="s">
        <v>246</v>
      </c>
      <c r="E123" s="2" t="s">
        <v>686</v>
      </c>
      <c r="F123" s="2" t="s">
        <v>885</v>
      </c>
      <c r="G123" s="11" t="s">
        <v>487</v>
      </c>
    </row>
    <row r="124" spans="2:7" x14ac:dyDescent="0.25">
      <c r="B124" s="3">
        <v>10913199</v>
      </c>
      <c r="C124" s="2" t="s">
        <v>35</v>
      </c>
      <c r="D124" s="2" t="s">
        <v>248</v>
      </c>
      <c r="E124" s="2" t="s">
        <v>687</v>
      </c>
      <c r="F124" s="2" t="s">
        <v>886</v>
      </c>
      <c r="G124" s="11" t="s">
        <v>488</v>
      </c>
    </row>
    <row r="125" spans="2:7" x14ac:dyDescent="0.25">
      <c r="B125" s="3">
        <v>10936764</v>
      </c>
      <c r="C125" s="2" t="s">
        <v>249</v>
      </c>
      <c r="D125" s="2" t="s">
        <v>181</v>
      </c>
      <c r="E125" s="2" t="s">
        <v>688</v>
      </c>
      <c r="F125" s="2" t="s">
        <v>887</v>
      </c>
      <c r="G125" s="11" t="s">
        <v>489</v>
      </c>
    </row>
    <row r="126" spans="2:7" x14ac:dyDescent="0.25">
      <c r="B126" s="3">
        <v>10945015</v>
      </c>
      <c r="C126" s="2" t="s">
        <v>250</v>
      </c>
      <c r="D126" s="2" t="s">
        <v>251</v>
      </c>
      <c r="E126" s="2" t="s">
        <v>689</v>
      </c>
      <c r="F126" s="2" t="s">
        <v>888</v>
      </c>
      <c r="G126" s="11" t="s">
        <v>490</v>
      </c>
    </row>
    <row r="127" spans="2:7" x14ac:dyDescent="0.25">
      <c r="B127" s="3">
        <v>10944912</v>
      </c>
      <c r="C127" s="2" t="s">
        <v>252</v>
      </c>
      <c r="D127" s="2" t="s">
        <v>253</v>
      </c>
      <c r="E127" s="2" t="s">
        <v>690</v>
      </c>
      <c r="F127" s="2" t="s">
        <v>889</v>
      </c>
      <c r="G127" s="11" t="s">
        <v>491</v>
      </c>
    </row>
    <row r="128" spans="2:7" x14ac:dyDescent="0.25">
      <c r="B128" s="3">
        <v>10902814</v>
      </c>
      <c r="C128" s="2" t="s">
        <v>254</v>
      </c>
      <c r="D128" s="2" t="s">
        <v>255</v>
      </c>
      <c r="E128" s="2" t="s">
        <v>691</v>
      </c>
      <c r="F128" s="2" t="s">
        <v>890</v>
      </c>
      <c r="G128" s="11" t="s">
        <v>492</v>
      </c>
    </row>
    <row r="129" spans="2:7" x14ac:dyDescent="0.25">
      <c r="B129" s="3">
        <v>10982057</v>
      </c>
      <c r="C129" s="2" t="s">
        <v>256</v>
      </c>
      <c r="D129" s="2" t="s">
        <v>257</v>
      </c>
      <c r="E129" s="2" t="s">
        <v>692</v>
      </c>
      <c r="F129" s="2" t="s">
        <v>891</v>
      </c>
      <c r="G129" s="11" t="s">
        <v>493</v>
      </c>
    </row>
    <row r="130" spans="2:7" x14ac:dyDescent="0.25">
      <c r="B130" s="3">
        <v>10983219</v>
      </c>
      <c r="C130" s="2" t="s">
        <v>258</v>
      </c>
      <c r="D130" s="2" t="s">
        <v>156</v>
      </c>
      <c r="E130" s="2" t="s">
        <v>693</v>
      </c>
      <c r="F130" s="2" t="s">
        <v>892</v>
      </c>
      <c r="G130" s="11" t="s">
        <v>494</v>
      </c>
    </row>
    <row r="131" spans="2:7" x14ac:dyDescent="0.25">
      <c r="B131" s="3">
        <v>10948188</v>
      </c>
      <c r="C131" s="2" t="s">
        <v>259</v>
      </c>
      <c r="D131" s="2" t="s">
        <v>260</v>
      </c>
      <c r="E131" s="2" t="s">
        <v>694</v>
      </c>
      <c r="F131" s="2" t="s">
        <v>893</v>
      </c>
      <c r="G131" s="11" t="s">
        <v>495</v>
      </c>
    </row>
    <row r="132" spans="2:7" x14ac:dyDescent="0.25">
      <c r="B132" s="3">
        <v>10979486</v>
      </c>
      <c r="C132" s="2" t="s">
        <v>261</v>
      </c>
      <c r="D132" s="2" t="s">
        <v>262</v>
      </c>
      <c r="E132" s="2" t="s">
        <v>695</v>
      </c>
      <c r="F132" s="2" t="s">
        <v>894</v>
      </c>
      <c r="G132" s="11" t="s">
        <v>496</v>
      </c>
    </row>
    <row r="133" spans="2:7" x14ac:dyDescent="0.25">
      <c r="B133" s="3">
        <v>10960010</v>
      </c>
      <c r="C133" s="2" t="s">
        <v>263</v>
      </c>
      <c r="D133" s="2" t="s">
        <v>264</v>
      </c>
      <c r="E133" s="2" t="s">
        <v>696</v>
      </c>
      <c r="F133" s="2" t="s">
        <v>895</v>
      </c>
      <c r="G133" s="11" t="s">
        <v>497</v>
      </c>
    </row>
    <row r="134" spans="2:7" x14ac:dyDescent="0.25">
      <c r="B134" s="3">
        <v>10928778</v>
      </c>
      <c r="C134" s="2" t="s">
        <v>135</v>
      </c>
      <c r="D134" s="2" t="s">
        <v>265</v>
      </c>
      <c r="E134" s="2" t="s">
        <v>697</v>
      </c>
      <c r="F134" s="2" t="s">
        <v>896</v>
      </c>
      <c r="G134" s="11" t="s">
        <v>498</v>
      </c>
    </row>
    <row r="135" spans="2:7" x14ac:dyDescent="0.25">
      <c r="B135" s="3">
        <v>10932949</v>
      </c>
      <c r="C135" s="2" t="s">
        <v>266</v>
      </c>
      <c r="D135" s="2" t="s">
        <v>267</v>
      </c>
      <c r="E135" s="2" t="s">
        <v>698</v>
      </c>
      <c r="F135" s="2" t="s">
        <v>897</v>
      </c>
      <c r="G135" s="11" t="s">
        <v>499</v>
      </c>
    </row>
    <row r="136" spans="2:7" x14ac:dyDescent="0.25">
      <c r="B136" s="3">
        <v>10945651</v>
      </c>
      <c r="C136" s="2" t="s">
        <v>268</v>
      </c>
      <c r="D136" s="2" t="s">
        <v>198</v>
      </c>
      <c r="E136" s="2" t="s">
        <v>699</v>
      </c>
      <c r="F136" s="2" t="s">
        <v>898</v>
      </c>
      <c r="G136" s="11" t="s">
        <v>500</v>
      </c>
    </row>
    <row r="137" spans="2:7" x14ac:dyDescent="0.25">
      <c r="B137" s="3">
        <v>10954575</v>
      </c>
      <c r="C137" s="2" t="s">
        <v>269</v>
      </c>
      <c r="D137" s="2" t="s">
        <v>133</v>
      </c>
      <c r="E137" s="2" t="s">
        <v>700</v>
      </c>
      <c r="F137" s="2" t="s">
        <v>899</v>
      </c>
      <c r="G137" s="11" t="s">
        <v>501</v>
      </c>
    </row>
    <row r="138" spans="2:7" x14ac:dyDescent="0.25">
      <c r="B138" s="3">
        <v>10955581</v>
      </c>
      <c r="C138" s="2" t="s">
        <v>270</v>
      </c>
      <c r="D138" s="2" t="s">
        <v>271</v>
      </c>
      <c r="E138" s="2" t="s">
        <v>701</v>
      </c>
      <c r="F138" s="2" t="s">
        <v>900</v>
      </c>
      <c r="G138" s="11" t="s">
        <v>502</v>
      </c>
    </row>
    <row r="139" spans="2:7" x14ac:dyDescent="0.25">
      <c r="B139" s="3">
        <v>10938442</v>
      </c>
      <c r="C139" s="2" t="s">
        <v>272</v>
      </c>
      <c r="D139" s="2" t="s">
        <v>273</v>
      </c>
      <c r="E139" s="2" t="s">
        <v>702</v>
      </c>
      <c r="F139" s="2" t="s">
        <v>901</v>
      </c>
      <c r="G139" s="11" t="s">
        <v>503</v>
      </c>
    </row>
    <row r="140" spans="2:7" x14ac:dyDescent="0.25">
      <c r="B140" s="3">
        <v>10954618</v>
      </c>
      <c r="C140" s="2" t="s">
        <v>274</v>
      </c>
      <c r="D140" s="2" t="s">
        <v>247</v>
      </c>
      <c r="E140" s="2" t="s">
        <v>703</v>
      </c>
      <c r="F140" s="2" t="s">
        <v>902</v>
      </c>
      <c r="G140" s="11" t="s">
        <v>504</v>
      </c>
    </row>
    <row r="141" spans="2:7" x14ac:dyDescent="0.25">
      <c r="B141" s="3">
        <v>10977942</v>
      </c>
      <c r="C141" s="2" t="s">
        <v>275</v>
      </c>
      <c r="D141" s="2" t="s">
        <v>276</v>
      </c>
      <c r="E141" s="2" t="s">
        <v>704</v>
      </c>
      <c r="F141" s="2" t="s">
        <v>903</v>
      </c>
      <c r="G141" s="11" t="s">
        <v>505</v>
      </c>
    </row>
    <row r="142" spans="2:7" x14ac:dyDescent="0.25">
      <c r="B142" s="3">
        <v>10903436</v>
      </c>
      <c r="C142" s="2" t="s">
        <v>277</v>
      </c>
      <c r="D142" s="2" t="s">
        <v>278</v>
      </c>
      <c r="E142" s="2" t="s">
        <v>705</v>
      </c>
      <c r="F142" s="2" t="s">
        <v>904</v>
      </c>
      <c r="G142" s="11" t="s">
        <v>506</v>
      </c>
    </row>
    <row r="143" spans="2:7" x14ac:dyDescent="0.25">
      <c r="B143" s="3">
        <v>10993486</v>
      </c>
      <c r="C143" s="2" t="s">
        <v>279</v>
      </c>
      <c r="D143" s="2" t="s">
        <v>280</v>
      </c>
      <c r="E143" s="2" t="s">
        <v>706</v>
      </c>
      <c r="F143" s="2" t="s">
        <v>905</v>
      </c>
      <c r="G143" s="11" t="s">
        <v>507</v>
      </c>
    </row>
    <row r="144" spans="2:7" x14ac:dyDescent="0.25">
      <c r="B144" s="3">
        <v>10990434</v>
      </c>
      <c r="C144" s="2" t="s">
        <v>281</v>
      </c>
      <c r="D144" s="2" t="s">
        <v>282</v>
      </c>
      <c r="E144" s="2" t="s">
        <v>707</v>
      </c>
      <c r="F144" s="2" t="s">
        <v>906</v>
      </c>
      <c r="G144" s="11" t="s">
        <v>508</v>
      </c>
    </row>
    <row r="145" spans="2:7" x14ac:dyDescent="0.25">
      <c r="B145" s="3">
        <v>10938964</v>
      </c>
      <c r="C145" s="2" t="s">
        <v>14</v>
      </c>
      <c r="D145" s="2" t="s">
        <v>13</v>
      </c>
      <c r="E145" s="2" t="s">
        <v>708</v>
      </c>
      <c r="F145" s="2" t="s">
        <v>907</v>
      </c>
      <c r="G145" s="11" t="s">
        <v>509</v>
      </c>
    </row>
    <row r="146" spans="2:7" x14ac:dyDescent="0.25">
      <c r="B146" s="3">
        <v>10997196</v>
      </c>
      <c r="C146" s="2" t="s">
        <v>283</v>
      </c>
      <c r="D146" s="2" t="s">
        <v>284</v>
      </c>
      <c r="E146" s="2" t="s">
        <v>709</v>
      </c>
      <c r="F146" s="2" t="s">
        <v>908</v>
      </c>
      <c r="G146" s="11" t="s">
        <v>510</v>
      </c>
    </row>
    <row r="147" spans="2:7" x14ac:dyDescent="0.25">
      <c r="B147" s="3">
        <v>10982868</v>
      </c>
      <c r="C147" s="2" t="s">
        <v>285</v>
      </c>
      <c r="D147" s="2" t="s">
        <v>238</v>
      </c>
      <c r="E147" s="2" t="s">
        <v>710</v>
      </c>
      <c r="F147" s="2" t="s">
        <v>909</v>
      </c>
      <c r="G147" s="11" t="s">
        <v>511</v>
      </c>
    </row>
    <row r="148" spans="2:7" x14ac:dyDescent="0.25">
      <c r="B148" s="3">
        <v>10982256</v>
      </c>
      <c r="C148" s="2" t="s">
        <v>286</v>
      </c>
      <c r="D148" s="2" t="s">
        <v>287</v>
      </c>
      <c r="E148" s="2" t="s">
        <v>711</v>
      </c>
      <c r="F148" s="2" t="s">
        <v>910</v>
      </c>
      <c r="G148" s="11" t="s">
        <v>512</v>
      </c>
    </row>
    <row r="149" spans="2:7" x14ac:dyDescent="0.25">
      <c r="B149" s="3">
        <v>10973681</v>
      </c>
      <c r="C149" s="2" t="s">
        <v>288</v>
      </c>
      <c r="D149" s="2" t="s">
        <v>289</v>
      </c>
      <c r="E149" s="2" t="s">
        <v>712</v>
      </c>
      <c r="F149" s="2" t="s">
        <v>911</v>
      </c>
      <c r="G149" s="11" t="s">
        <v>513</v>
      </c>
    </row>
    <row r="150" spans="2:7" x14ac:dyDescent="0.25">
      <c r="B150" s="3">
        <v>10998168</v>
      </c>
      <c r="C150" s="2" t="s">
        <v>290</v>
      </c>
      <c r="D150" s="2" t="s">
        <v>291</v>
      </c>
      <c r="E150" s="2" t="s">
        <v>713</v>
      </c>
      <c r="F150" s="2" t="s">
        <v>912</v>
      </c>
      <c r="G150" s="11" t="s">
        <v>514</v>
      </c>
    </row>
    <row r="151" spans="2:7" x14ac:dyDescent="0.25">
      <c r="B151" s="3">
        <v>10965079</v>
      </c>
      <c r="C151" s="2" t="s">
        <v>292</v>
      </c>
      <c r="D151" s="2" t="s">
        <v>293</v>
      </c>
      <c r="E151" s="2" t="s">
        <v>714</v>
      </c>
      <c r="F151" s="2" t="s">
        <v>913</v>
      </c>
      <c r="G151" s="11" t="s">
        <v>515</v>
      </c>
    </row>
    <row r="152" spans="2:7" x14ac:dyDescent="0.25">
      <c r="B152" s="3">
        <v>10936133</v>
      </c>
      <c r="C152" s="2" t="s">
        <v>294</v>
      </c>
      <c r="D152" s="2" t="s">
        <v>295</v>
      </c>
      <c r="E152" s="2" t="s">
        <v>715</v>
      </c>
      <c r="F152" s="2" t="s">
        <v>914</v>
      </c>
      <c r="G152" s="11" t="s">
        <v>516</v>
      </c>
    </row>
    <row r="153" spans="2:7" x14ac:dyDescent="0.25">
      <c r="B153" s="3">
        <v>10934789</v>
      </c>
      <c r="C153" s="2" t="s">
        <v>35</v>
      </c>
      <c r="D153" s="2" t="s">
        <v>296</v>
      </c>
      <c r="E153" s="2" t="s">
        <v>716</v>
      </c>
      <c r="F153" s="2" t="s">
        <v>915</v>
      </c>
      <c r="G153" s="11" t="s">
        <v>517</v>
      </c>
    </row>
    <row r="154" spans="2:7" x14ac:dyDescent="0.25">
      <c r="B154" s="3">
        <v>10994763</v>
      </c>
      <c r="C154" s="2" t="s">
        <v>297</v>
      </c>
      <c r="D154" s="2" t="s">
        <v>298</v>
      </c>
      <c r="E154" s="2" t="s">
        <v>717</v>
      </c>
      <c r="F154" s="2" t="s">
        <v>916</v>
      </c>
      <c r="G154" s="11" t="s">
        <v>518</v>
      </c>
    </row>
    <row r="155" spans="2:7" x14ac:dyDescent="0.25">
      <c r="B155" s="3">
        <v>10938267</v>
      </c>
      <c r="C155" s="2" t="s">
        <v>299</v>
      </c>
      <c r="D155" s="2" t="s">
        <v>234</v>
      </c>
      <c r="E155" s="2" t="s">
        <v>718</v>
      </c>
      <c r="F155" s="2" t="s">
        <v>917</v>
      </c>
      <c r="G155" s="11" t="s">
        <v>519</v>
      </c>
    </row>
    <row r="156" spans="2:7" x14ac:dyDescent="0.25">
      <c r="B156" s="3">
        <v>10908858</v>
      </c>
      <c r="C156" s="2" t="s">
        <v>300</v>
      </c>
      <c r="D156" s="2" t="s">
        <v>301</v>
      </c>
      <c r="E156" s="2" t="s">
        <v>719</v>
      </c>
      <c r="F156" s="2" t="s">
        <v>918</v>
      </c>
      <c r="G156" s="11" t="s">
        <v>520</v>
      </c>
    </row>
    <row r="157" spans="2:7" x14ac:dyDescent="0.25">
      <c r="B157" s="3">
        <v>10911014</v>
      </c>
      <c r="C157" s="2" t="s">
        <v>302</v>
      </c>
      <c r="D157" s="2" t="s">
        <v>133</v>
      </c>
      <c r="E157" s="2" t="s">
        <v>720</v>
      </c>
      <c r="F157" s="2" t="s">
        <v>919</v>
      </c>
      <c r="G157" s="11" t="s">
        <v>521</v>
      </c>
    </row>
    <row r="158" spans="2:7" x14ac:dyDescent="0.25">
      <c r="B158" s="3">
        <v>10964564</v>
      </c>
      <c r="C158" s="2" t="s">
        <v>303</v>
      </c>
      <c r="D158" s="2" t="s">
        <v>304</v>
      </c>
      <c r="E158" s="2" t="s">
        <v>721</v>
      </c>
      <c r="F158" s="2" t="s">
        <v>920</v>
      </c>
      <c r="G158" s="11" t="s">
        <v>522</v>
      </c>
    </row>
    <row r="159" spans="2:7" x14ac:dyDescent="0.25">
      <c r="B159" s="3">
        <v>10982009</v>
      </c>
      <c r="C159" s="2" t="s">
        <v>305</v>
      </c>
      <c r="D159" s="2" t="s">
        <v>306</v>
      </c>
      <c r="E159" s="2" t="s">
        <v>722</v>
      </c>
      <c r="F159" s="2" t="s">
        <v>921</v>
      </c>
      <c r="G159" s="11" t="s">
        <v>523</v>
      </c>
    </row>
    <row r="160" spans="2:7" x14ac:dyDescent="0.25">
      <c r="B160" s="3">
        <v>10965308</v>
      </c>
      <c r="C160" s="2" t="s">
        <v>307</v>
      </c>
      <c r="D160" s="2" t="s">
        <v>308</v>
      </c>
      <c r="E160" s="2" t="s">
        <v>723</v>
      </c>
      <c r="F160" s="2" t="s">
        <v>922</v>
      </c>
      <c r="G160" s="11" t="s">
        <v>524</v>
      </c>
    </row>
    <row r="161" spans="2:7" x14ac:dyDescent="0.25">
      <c r="B161" s="3">
        <v>10965338</v>
      </c>
      <c r="C161" s="2" t="s">
        <v>15</v>
      </c>
      <c r="D161" s="2" t="s">
        <v>309</v>
      </c>
      <c r="E161" s="2" t="s">
        <v>724</v>
      </c>
      <c r="F161" s="2" t="s">
        <v>923</v>
      </c>
      <c r="G161" s="11" t="s">
        <v>525</v>
      </c>
    </row>
    <row r="162" spans="2:7" x14ac:dyDescent="0.25">
      <c r="B162" s="3">
        <v>10936811</v>
      </c>
      <c r="C162" s="2" t="s">
        <v>310</v>
      </c>
      <c r="D162" s="2" t="s">
        <v>311</v>
      </c>
      <c r="E162" s="2" t="s">
        <v>725</v>
      </c>
      <c r="F162" s="2" t="s">
        <v>924</v>
      </c>
      <c r="G162" s="11" t="s">
        <v>526</v>
      </c>
    </row>
    <row r="163" spans="2:7" x14ac:dyDescent="0.25">
      <c r="B163" s="3">
        <v>10933840</v>
      </c>
      <c r="C163" s="2" t="s">
        <v>312</v>
      </c>
      <c r="D163" s="2" t="s">
        <v>313</v>
      </c>
      <c r="E163" s="2" t="s">
        <v>726</v>
      </c>
      <c r="F163" s="2" t="s">
        <v>925</v>
      </c>
      <c r="G163" s="11" t="s">
        <v>527</v>
      </c>
    </row>
    <row r="164" spans="2:7" x14ac:dyDescent="0.25">
      <c r="B164" s="3">
        <v>10909073</v>
      </c>
      <c r="C164" s="2" t="s">
        <v>314</v>
      </c>
      <c r="D164" s="2" t="s">
        <v>133</v>
      </c>
      <c r="E164" s="2" t="s">
        <v>727</v>
      </c>
      <c r="F164" s="2" t="s">
        <v>926</v>
      </c>
      <c r="G164" s="11" t="s">
        <v>528</v>
      </c>
    </row>
    <row r="165" spans="2:7" x14ac:dyDescent="0.25">
      <c r="B165" s="3">
        <v>10944965</v>
      </c>
      <c r="C165" s="2" t="s">
        <v>315</v>
      </c>
      <c r="D165" s="2" t="s">
        <v>44</v>
      </c>
      <c r="E165" s="2" t="s">
        <v>728</v>
      </c>
      <c r="F165" s="2" t="s">
        <v>927</v>
      </c>
      <c r="G165" s="11" t="s">
        <v>529</v>
      </c>
    </row>
    <row r="166" spans="2:7" x14ac:dyDescent="0.25">
      <c r="B166" s="3">
        <v>10913234</v>
      </c>
      <c r="C166" s="2" t="s">
        <v>80</v>
      </c>
      <c r="D166" s="2" t="s">
        <v>316</v>
      </c>
      <c r="E166" s="2" t="s">
        <v>729</v>
      </c>
      <c r="F166" s="2" t="s">
        <v>928</v>
      </c>
      <c r="G166" s="11" t="s">
        <v>530</v>
      </c>
    </row>
    <row r="167" spans="2:7" x14ac:dyDescent="0.25">
      <c r="B167" s="3">
        <v>10924872</v>
      </c>
      <c r="C167" s="2" t="s">
        <v>279</v>
      </c>
      <c r="D167" s="2" t="s">
        <v>317</v>
      </c>
      <c r="E167" s="2" t="s">
        <v>730</v>
      </c>
      <c r="F167" s="2" t="s">
        <v>929</v>
      </c>
      <c r="G167" s="11" t="s">
        <v>531</v>
      </c>
    </row>
    <row r="168" spans="2:7" x14ac:dyDescent="0.25">
      <c r="B168" s="3">
        <v>10948858</v>
      </c>
      <c r="C168" s="2" t="s">
        <v>318</v>
      </c>
      <c r="D168" s="2" t="s">
        <v>133</v>
      </c>
      <c r="E168" s="2" t="s">
        <v>731</v>
      </c>
      <c r="F168" s="2" t="s">
        <v>930</v>
      </c>
      <c r="G168" s="11" t="s">
        <v>532</v>
      </c>
    </row>
    <row r="169" spans="2:7" x14ac:dyDescent="0.25">
      <c r="B169" s="3">
        <v>10988200</v>
      </c>
      <c r="C169" s="2" t="s">
        <v>319</v>
      </c>
      <c r="D169" s="2" t="s">
        <v>44</v>
      </c>
      <c r="E169" s="2" t="s">
        <v>732</v>
      </c>
      <c r="F169" s="2" t="s">
        <v>931</v>
      </c>
      <c r="G169" s="11" t="s">
        <v>533</v>
      </c>
    </row>
    <row r="170" spans="2:7" x14ac:dyDescent="0.25">
      <c r="B170" s="3">
        <v>10915137</v>
      </c>
      <c r="C170" s="2" t="s">
        <v>320</v>
      </c>
      <c r="D170" s="2" t="s">
        <v>321</v>
      </c>
      <c r="E170" s="2" t="s">
        <v>733</v>
      </c>
      <c r="F170" s="2" t="s">
        <v>932</v>
      </c>
      <c r="G170" s="11" t="s">
        <v>534</v>
      </c>
    </row>
    <row r="171" spans="2:7" x14ac:dyDescent="0.25">
      <c r="B171" s="3">
        <v>10982905</v>
      </c>
      <c r="C171" s="2" t="s">
        <v>322</v>
      </c>
      <c r="D171" s="2" t="s">
        <v>323</v>
      </c>
      <c r="E171" s="2" t="s">
        <v>734</v>
      </c>
      <c r="F171" s="2" t="s">
        <v>933</v>
      </c>
      <c r="G171" s="11" t="s">
        <v>535</v>
      </c>
    </row>
    <row r="172" spans="2:7" x14ac:dyDescent="0.25">
      <c r="B172" s="3">
        <v>10985613</v>
      </c>
      <c r="C172" s="2" t="s">
        <v>324</v>
      </c>
      <c r="D172" s="2" t="s">
        <v>325</v>
      </c>
      <c r="E172" s="2" t="s">
        <v>735</v>
      </c>
      <c r="F172" s="2" t="s">
        <v>934</v>
      </c>
      <c r="G172" s="11" t="s">
        <v>536</v>
      </c>
    </row>
    <row r="173" spans="2:7" x14ac:dyDescent="0.25">
      <c r="B173" s="3">
        <v>10901506</v>
      </c>
      <c r="C173" s="2" t="s">
        <v>326</v>
      </c>
      <c r="D173" s="2" t="s">
        <v>327</v>
      </c>
      <c r="E173" s="2" t="s">
        <v>736</v>
      </c>
      <c r="F173" s="2" t="s">
        <v>935</v>
      </c>
      <c r="G173" s="11" t="s">
        <v>537</v>
      </c>
    </row>
    <row r="174" spans="2:7" x14ac:dyDescent="0.25">
      <c r="B174" s="3">
        <v>10913375</v>
      </c>
      <c r="C174" s="2" t="s">
        <v>328</v>
      </c>
      <c r="D174" s="2" t="s">
        <v>92</v>
      </c>
      <c r="E174" s="2" t="s">
        <v>737</v>
      </c>
      <c r="F174" s="2" t="s">
        <v>936</v>
      </c>
      <c r="G174" s="11" t="s">
        <v>538</v>
      </c>
    </row>
    <row r="175" spans="2:7" x14ac:dyDescent="0.25">
      <c r="B175" s="3">
        <v>10913592</v>
      </c>
      <c r="C175" s="2" t="s">
        <v>132</v>
      </c>
      <c r="D175" s="2" t="s">
        <v>329</v>
      </c>
      <c r="E175" s="2" t="s">
        <v>738</v>
      </c>
      <c r="F175" s="2" t="s">
        <v>937</v>
      </c>
      <c r="G175" s="11" t="s">
        <v>539</v>
      </c>
    </row>
    <row r="176" spans="2:7" x14ac:dyDescent="0.25">
      <c r="B176" s="3">
        <v>10927981</v>
      </c>
      <c r="C176" s="2" t="s">
        <v>330</v>
      </c>
      <c r="D176" s="2" t="s">
        <v>57</v>
      </c>
      <c r="E176" s="2" t="s">
        <v>739</v>
      </c>
      <c r="F176" s="2" t="s">
        <v>938</v>
      </c>
      <c r="G176" s="11" t="s">
        <v>540</v>
      </c>
    </row>
    <row r="177" spans="2:7" x14ac:dyDescent="0.25">
      <c r="B177" s="3">
        <v>10980619</v>
      </c>
      <c r="C177" s="2" t="s">
        <v>17</v>
      </c>
      <c r="D177" s="2" t="s">
        <v>198</v>
      </c>
      <c r="E177" s="2" t="s">
        <v>740</v>
      </c>
      <c r="F177" s="2" t="s">
        <v>939</v>
      </c>
      <c r="G177" s="11" t="s">
        <v>541</v>
      </c>
    </row>
    <row r="178" spans="2:7" x14ac:dyDescent="0.25">
      <c r="B178" s="3">
        <v>10900925</v>
      </c>
      <c r="C178" s="2" t="s">
        <v>331</v>
      </c>
      <c r="D178" s="2" t="s">
        <v>332</v>
      </c>
      <c r="E178" s="2" t="s">
        <v>741</v>
      </c>
      <c r="F178" s="2" t="s">
        <v>940</v>
      </c>
      <c r="G178" s="11" t="s">
        <v>542</v>
      </c>
    </row>
    <row r="179" spans="2:7" x14ac:dyDescent="0.25">
      <c r="B179" s="3">
        <v>10921926</v>
      </c>
      <c r="C179" s="2" t="s">
        <v>266</v>
      </c>
      <c r="D179" s="2" t="s">
        <v>333</v>
      </c>
      <c r="E179" s="2" t="s">
        <v>742</v>
      </c>
      <c r="F179" s="2" t="s">
        <v>941</v>
      </c>
      <c r="G179" s="11" t="s">
        <v>543</v>
      </c>
    </row>
    <row r="180" spans="2:7" x14ac:dyDescent="0.25">
      <c r="B180" s="3">
        <v>10975923</v>
      </c>
      <c r="C180" s="2" t="s">
        <v>75</v>
      </c>
      <c r="D180" s="2" t="s">
        <v>17</v>
      </c>
      <c r="E180" s="2" t="s">
        <v>743</v>
      </c>
      <c r="F180" s="2" t="s">
        <v>942</v>
      </c>
      <c r="G180" s="11" t="s">
        <v>544</v>
      </c>
    </row>
    <row r="181" spans="2:7" x14ac:dyDescent="0.25">
      <c r="B181" s="3">
        <v>10971427</v>
      </c>
      <c r="C181" s="2" t="s">
        <v>334</v>
      </c>
      <c r="D181" s="2" t="s">
        <v>335</v>
      </c>
      <c r="E181" s="2" t="s">
        <v>744</v>
      </c>
      <c r="F181" s="2" t="s">
        <v>943</v>
      </c>
      <c r="G181" s="11" t="s">
        <v>545</v>
      </c>
    </row>
    <row r="182" spans="2:7" x14ac:dyDescent="0.25">
      <c r="B182" s="3">
        <v>10966097</v>
      </c>
      <c r="C182" s="2" t="s">
        <v>336</v>
      </c>
      <c r="D182" s="2" t="s">
        <v>44</v>
      </c>
      <c r="E182" s="2" t="s">
        <v>745</v>
      </c>
      <c r="F182" s="2" t="s">
        <v>944</v>
      </c>
      <c r="G182" s="11" t="s">
        <v>546</v>
      </c>
    </row>
    <row r="183" spans="2:7" x14ac:dyDescent="0.25">
      <c r="B183" s="3">
        <v>10993162</v>
      </c>
      <c r="C183" s="2" t="s">
        <v>337</v>
      </c>
      <c r="D183" s="2" t="s">
        <v>338</v>
      </c>
      <c r="E183" s="2" t="s">
        <v>746</v>
      </c>
      <c r="F183" s="2" t="s">
        <v>945</v>
      </c>
      <c r="G183" s="11" t="s">
        <v>547</v>
      </c>
    </row>
    <row r="184" spans="2:7" x14ac:dyDescent="0.25">
      <c r="B184" s="3">
        <v>10999771</v>
      </c>
      <c r="C184" s="2" t="s">
        <v>124</v>
      </c>
      <c r="D184" s="2" t="s">
        <v>339</v>
      </c>
      <c r="E184" s="2" t="s">
        <v>747</v>
      </c>
      <c r="F184" s="2" t="s">
        <v>946</v>
      </c>
      <c r="G184" s="11" t="s">
        <v>548</v>
      </c>
    </row>
    <row r="185" spans="2:7" x14ac:dyDescent="0.25">
      <c r="B185" s="3">
        <v>10939250</v>
      </c>
      <c r="C185" s="2" t="s">
        <v>340</v>
      </c>
      <c r="D185" s="2" t="s">
        <v>341</v>
      </c>
      <c r="E185" s="2" t="s">
        <v>748</v>
      </c>
      <c r="F185" s="2" t="s">
        <v>947</v>
      </c>
      <c r="G185" s="11" t="s">
        <v>549</v>
      </c>
    </row>
    <row r="186" spans="2:7" x14ac:dyDescent="0.25">
      <c r="B186" s="3">
        <v>10902290</v>
      </c>
      <c r="C186" s="2" t="s">
        <v>342</v>
      </c>
      <c r="D186" s="2" t="s">
        <v>343</v>
      </c>
      <c r="E186" s="2" t="s">
        <v>749</v>
      </c>
      <c r="F186" s="2" t="s">
        <v>948</v>
      </c>
      <c r="G186" s="11" t="s">
        <v>550</v>
      </c>
    </row>
    <row r="187" spans="2:7" x14ac:dyDescent="0.25">
      <c r="B187" s="3">
        <v>10989655</v>
      </c>
      <c r="C187" s="2" t="s">
        <v>344</v>
      </c>
      <c r="D187" s="2" t="s">
        <v>345</v>
      </c>
      <c r="E187" s="2" t="s">
        <v>750</v>
      </c>
      <c r="F187" s="2" t="s">
        <v>949</v>
      </c>
      <c r="G187" s="11" t="s">
        <v>551</v>
      </c>
    </row>
    <row r="188" spans="2:7" x14ac:dyDescent="0.25">
      <c r="B188" s="3">
        <v>10917643</v>
      </c>
      <c r="C188" s="2" t="s">
        <v>346</v>
      </c>
      <c r="D188" s="2" t="s">
        <v>347</v>
      </c>
      <c r="E188" s="2" t="s">
        <v>751</v>
      </c>
      <c r="F188" s="2" t="s">
        <v>950</v>
      </c>
      <c r="G188" s="11" t="s">
        <v>552</v>
      </c>
    </row>
    <row r="189" spans="2:7" x14ac:dyDescent="0.25">
      <c r="B189" s="3">
        <v>10989594</v>
      </c>
      <c r="C189" s="2" t="s">
        <v>348</v>
      </c>
      <c r="D189" s="2" t="s">
        <v>349</v>
      </c>
      <c r="E189" s="2" t="s">
        <v>752</v>
      </c>
      <c r="F189" s="2" t="s">
        <v>951</v>
      </c>
      <c r="G189" s="11" t="s">
        <v>553</v>
      </c>
    </row>
    <row r="190" spans="2:7" x14ac:dyDescent="0.25">
      <c r="B190" s="3">
        <v>10915528</v>
      </c>
      <c r="C190" s="2" t="s">
        <v>350</v>
      </c>
      <c r="D190" s="2" t="s">
        <v>44</v>
      </c>
      <c r="E190" s="2" t="s">
        <v>753</v>
      </c>
      <c r="F190" s="2" t="s">
        <v>952</v>
      </c>
      <c r="G190" s="11" t="s">
        <v>554</v>
      </c>
    </row>
    <row r="191" spans="2:7" x14ac:dyDescent="0.25">
      <c r="B191" s="3">
        <v>10988780</v>
      </c>
      <c r="C191" s="2" t="s">
        <v>351</v>
      </c>
      <c r="D191" s="2" t="s">
        <v>352</v>
      </c>
      <c r="E191" s="2" t="s">
        <v>754</v>
      </c>
      <c r="F191" s="2" t="s">
        <v>953</v>
      </c>
      <c r="G191" s="11" t="s">
        <v>555</v>
      </c>
    </row>
    <row r="192" spans="2:7" x14ac:dyDescent="0.25">
      <c r="B192" s="3">
        <v>10906298</v>
      </c>
      <c r="C192" s="2" t="s">
        <v>353</v>
      </c>
      <c r="D192" s="2" t="s">
        <v>354</v>
      </c>
      <c r="E192" s="2" t="s">
        <v>755</v>
      </c>
      <c r="F192" s="2" t="s">
        <v>954</v>
      </c>
      <c r="G192" s="11" t="s">
        <v>556</v>
      </c>
    </row>
    <row r="193" spans="2:7" x14ac:dyDescent="0.25">
      <c r="B193" s="3">
        <v>10950325</v>
      </c>
      <c r="C193" s="2" t="s">
        <v>53</v>
      </c>
      <c r="D193" s="2" t="s">
        <v>355</v>
      </c>
      <c r="E193" s="2" t="s">
        <v>756</v>
      </c>
      <c r="F193" s="2" t="s">
        <v>955</v>
      </c>
      <c r="G193" s="11" t="s">
        <v>557</v>
      </c>
    </row>
    <row r="194" spans="2:7" x14ac:dyDescent="0.25">
      <c r="B194" s="3">
        <v>10978256</v>
      </c>
      <c r="C194" s="2" t="s">
        <v>337</v>
      </c>
      <c r="D194" s="2" t="s">
        <v>356</v>
      </c>
      <c r="E194" s="2" t="s">
        <v>757</v>
      </c>
      <c r="F194" s="2" t="s">
        <v>956</v>
      </c>
      <c r="G194" s="11" t="s">
        <v>558</v>
      </c>
    </row>
    <row r="195" spans="2:7" x14ac:dyDescent="0.25">
      <c r="B195" s="3">
        <v>10977461</v>
      </c>
      <c r="C195" s="2" t="s">
        <v>357</v>
      </c>
      <c r="D195" s="2" t="s">
        <v>358</v>
      </c>
      <c r="E195" s="2" t="s">
        <v>758</v>
      </c>
      <c r="F195" s="2" t="s">
        <v>957</v>
      </c>
      <c r="G195" s="11" t="s">
        <v>559</v>
      </c>
    </row>
    <row r="196" spans="2:7" x14ac:dyDescent="0.25">
      <c r="B196" s="3">
        <v>10967740</v>
      </c>
      <c r="C196" s="2" t="s">
        <v>359</v>
      </c>
      <c r="D196" s="2" t="s">
        <v>360</v>
      </c>
      <c r="E196" s="2" t="s">
        <v>759</v>
      </c>
      <c r="F196" s="2" t="s">
        <v>958</v>
      </c>
      <c r="G196" s="11" t="s">
        <v>560</v>
      </c>
    </row>
    <row r="197" spans="2:7" x14ac:dyDescent="0.25">
      <c r="B197" s="3">
        <v>10942779</v>
      </c>
      <c r="C197" s="2" t="s">
        <v>361</v>
      </c>
      <c r="D197" s="2" t="s">
        <v>362</v>
      </c>
      <c r="E197" s="2" t="s">
        <v>760</v>
      </c>
      <c r="F197" s="2" t="s">
        <v>959</v>
      </c>
      <c r="G197" s="11" t="s">
        <v>561</v>
      </c>
    </row>
    <row r="198" spans="2:7" x14ac:dyDescent="0.25">
      <c r="B198" s="3">
        <v>10937284</v>
      </c>
      <c r="C198" s="2" t="s">
        <v>363</v>
      </c>
      <c r="D198" s="2" t="s">
        <v>46</v>
      </c>
      <c r="E198" s="2" t="s">
        <v>761</v>
      </c>
      <c r="F198" s="2" t="s">
        <v>960</v>
      </c>
      <c r="G198" s="11" t="s">
        <v>562</v>
      </c>
    </row>
    <row r="199" spans="2:7" x14ac:dyDescent="0.25">
      <c r="B199" s="3">
        <v>10998159</v>
      </c>
      <c r="C199" s="2" t="s">
        <v>364</v>
      </c>
      <c r="D199" s="2" t="s">
        <v>29</v>
      </c>
      <c r="E199" s="2" t="s">
        <v>762</v>
      </c>
      <c r="F199" s="2" t="s">
        <v>961</v>
      </c>
      <c r="G199" s="11" t="s">
        <v>563</v>
      </c>
    </row>
    <row r="200" spans="2:7" x14ac:dyDescent="0.25">
      <c r="B200" s="3">
        <v>10908758</v>
      </c>
      <c r="C200" s="2" t="s">
        <v>365</v>
      </c>
      <c r="D200" s="2" t="s">
        <v>366</v>
      </c>
      <c r="E200" s="2" t="s">
        <v>763</v>
      </c>
      <c r="F200" s="2" t="s">
        <v>962</v>
      </c>
      <c r="G200" s="11" t="s">
        <v>564</v>
      </c>
    </row>
    <row r="201" spans="2:7" x14ac:dyDescent="0.25">
      <c r="B201" s="3">
        <v>10989389</v>
      </c>
      <c r="C201" s="2" t="s">
        <v>367</v>
      </c>
      <c r="D201" s="2" t="s">
        <v>273</v>
      </c>
      <c r="E201" s="2" t="s">
        <v>764</v>
      </c>
      <c r="F201" s="2" t="s">
        <v>963</v>
      </c>
      <c r="G201" s="11" t="s">
        <v>565</v>
      </c>
    </row>
    <row r="202" spans="2:7" x14ac:dyDescent="0.25">
      <c r="B202" s="4">
        <v>10947139</v>
      </c>
      <c r="C202" s="12" t="s">
        <v>283</v>
      </c>
      <c r="D202" s="12" t="s">
        <v>368</v>
      </c>
      <c r="E202" s="12" t="s">
        <v>765</v>
      </c>
      <c r="F202" s="12" t="s">
        <v>964</v>
      </c>
      <c r="G202" s="5" t="s">
        <v>566</v>
      </c>
    </row>
  </sheetData>
  <hyperlinks>
    <hyperlink ref="G3" r:id="rId1" xr:uid="{C8D20BCD-62B7-4C2A-AF58-D6B48F59901D}"/>
    <hyperlink ref="G4" r:id="rId2" xr:uid="{BE54F1F2-B99B-4AB4-A715-9B239852A1FE}"/>
    <hyperlink ref="G5" r:id="rId3" xr:uid="{093D0589-D495-409E-8B8B-25A3BEF7F00E}"/>
  </hyperlinks>
  <pageMargins left="0.7" right="0.7" top="0.75" bottom="0.75" header="0.3" footer="0.3"/>
  <pageSetup scale="71" fitToHeight="0" orientation="portrait" r:id="rId4"/>
  <headerFooter>
    <oddHeader>&amp;L                            &amp;G&amp;C&amp;"Cooper Black,Normal"&amp;22&amp;K002060LÁCTEOS LPG&amp;RCalle 22 # 33-25
Barrancabermeja, Santander</oddHeader>
    <oddFooter>&amp;CPágina &amp;P de &amp;N</oddFooter>
  </headerFooter>
  <legacyDrawingHF r:id="rId5"/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4CC6-308A-41FC-BDC1-7E5AF95CEC1E}">
  <sheetPr codeName="Hoja7"/>
  <dimension ref="B1:D13"/>
  <sheetViews>
    <sheetView view="pageBreakPreview" zoomScaleNormal="100" zoomScaleSheetLayoutView="100" workbookViewId="0">
      <selection activeCell="C4" sqref="C4:C13"/>
    </sheetView>
  </sheetViews>
  <sheetFormatPr baseColWidth="10" defaultRowHeight="15" x14ac:dyDescent="0.25"/>
  <cols>
    <col min="3" max="3" width="48.7109375" bestFit="1" customWidth="1"/>
    <col min="4" max="4" width="18" customWidth="1"/>
  </cols>
  <sheetData>
    <row r="1" spans="2:4" x14ac:dyDescent="0.25">
      <c r="B1" s="15"/>
    </row>
    <row r="3" spans="2:4" x14ac:dyDescent="0.25">
      <c r="B3" s="1" t="s">
        <v>7</v>
      </c>
      <c r="C3" s="1" t="s">
        <v>1</v>
      </c>
      <c r="D3" s="1" t="s">
        <v>8</v>
      </c>
    </row>
    <row r="4" spans="2:4" x14ac:dyDescent="0.25">
      <c r="B4" s="2" t="s">
        <v>965</v>
      </c>
      <c r="C4" s="2" t="s">
        <v>975</v>
      </c>
      <c r="D4" s="6">
        <v>12000.45</v>
      </c>
    </row>
    <row r="5" spans="2:4" x14ac:dyDescent="0.25">
      <c r="B5" s="2" t="s">
        <v>966</v>
      </c>
      <c r="C5" s="2" t="s">
        <v>976</v>
      </c>
      <c r="D5" s="6">
        <v>12200.6</v>
      </c>
    </row>
    <row r="6" spans="2:4" x14ac:dyDescent="0.25">
      <c r="B6" s="2" t="s">
        <v>967</v>
      </c>
      <c r="C6" s="2" t="s">
        <v>977</v>
      </c>
      <c r="D6" s="6">
        <v>15000.15</v>
      </c>
    </row>
    <row r="7" spans="2:4" x14ac:dyDescent="0.25">
      <c r="B7" s="2" t="s">
        <v>968</v>
      </c>
      <c r="C7" s="2" t="s">
        <v>978</v>
      </c>
      <c r="D7" s="6">
        <v>6000.5</v>
      </c>
    </row>
    <row r="8" spans="2:4" x14ac:dyDescent="0.25">
      <c r="B8" s="2" t="s">
        <v>969</v>
      </c>
      <c r="C8" s="2" t="s">
        <v>979</v>
      </c>
      <c r="D8" s="6">
        <v>6000.1</v>
      </c>
    </row>
    <row r="9" spans="2:4" x14ac:dyDescent="0.25">
      <c r="B9" s="2" t="s">
        <v>970</v>
      </c>
      <c r="C9" s="2" t="s">
        <v>980</v>
      </c>
      <c r="D9" s="6">
        <v>6100.5</v>
      </c>
    </row>
    <row r="10" spans="2:4" x14ac:dyDescent="0.25">
      <c r="B10" s="2" t="s">
        <v>971</v>
      </c>
      <c r="C10" s="2" t="s">
        <v>981</v>
      </c>
      <c r="D10" s="6">
        <v>20000.349999999999</v>
      </c>
    </row>
    <row r="11" spans="2:4" x14ac:dyDescent="0.25">
      <c r="B11" s="2" t="s">
        <v>972</v>
      </c>
      <c r="C11" s="2" t="s">
        <v>982</v>
      </c>
      <c r="D11" s="6">
        <v>11000.24</v>
      </c>
    </row>
    <row r="12" spans="2:4" x14ac:dyDescent="0.25">
      <c r="B12" s="2" t="s">
        <v>973</v>
      </c>
      <c r="C12" s="2" t="s">
        <v>983</v>
      </c>
      <c r="D12" s="6">
        <v>24000.7</v>
      </c>
    </row>
    <row r="13" spans="2:4" x14ac:dyDescent="0.25">
      <c r="B13" s="2" t="s">
        <v>974</v>
      </c>
      <c r="C13" s="2" t="s">
        <v>984</v>
      </c>
      <c r="D13" s="6">
        <v>12000.2</v>
      </c>
    </row>
  </sheetData>
  <phoneticPr fontId="3" type="noConversion"/>
  <pageMargins left="0.7" right="0.7" top="0.75" bottom="0.75" header="0.3" footer="0.3"/>
  <pageSetup orientation="portrait" r:id="rId1"/>
  <headerFooter>
    <oddHeader xml:space="preserve">&amp;L       &amp;G&amp;C&amp;"Cooper Black,Normal"&amp;22&amp;K002060LÁCTEOS LPG&amp;RCalle 22 # 33-25
Barrancabermeja, Santander </oddHeader>
  </headerFooter>
  <ignoredErrors>
    <ignoredError sqref="B4:B13" calculatedColumn="1"/>
  </ignoredErrors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7CF67-D961-4567-9B71-955737EF579A}">
  <sheetPr codeName="Hoja8"/>
  <dimension ref="B3:E13"/>
  <sheetViews>
    <sheetView view="pageBreakPreview" zoomScaleNormal="100" zoomScaleSheetLayoutView="100" workbookViewId="0">
      <selection activeCell="B4" sqref="B4:B13"/>
    </sheetView>
  </sheetViews>
  <sheetFormatPr baseColWidth="10" defaultRowHeight="15" x14ac:dyDescent="0.25"/>
  <cols>
    <col min="3" max="3" width="17.140625" customWidth="1"/>
    <col min="4" max="4" width="16.7109375" customWidth="1"/>
    <col min="5" max="5" width="15.5703125" bestFit="1" customWidth="1"/>
  </cols>
  <sheetData>
    <row r="3" spans="2:5" x14ac:dyDescent="0.25">
      <c r="B3" s="7" t="s">
        <v>0</v>
      </c>
      <c r="C3" s="8" t="s">
        <v>1</v>
      </c>
      <c r="D3" s="8" t="s">
        <v>2</v>
      </c>
      <c r="E3" s="9" t="s">
        <v>9</v>
      </c>
    </row>
    <row r="4" spans="2:5" x14ac:dyDescent="0.25">
      <c r="B4">
        <v>10997554</v>
      </c>
      <c r="C4" s="2" t="s">
        <v>19</v>
      </c>
      <c r="D4" s="2" t="s">
        <v>21</v>
      </c>
      <c r="E4" s="13">
        <v>1991785</v>
      </c>
    </row>
    <row r="5" spans="2:5" x14ac:dyDescent="0.25">
      <c r="B5">
        <v>10927346</v>
      </c>
      <c r="C5" s="2" t="s">
        <v>10</v>
      </c>
      <c r="D5" s="2" t="s">
        <v>22</v>
      </c>
      <c r="E5" s="13">
        <v>2907889</v>
      </c>
    </row>
    <row r="6" spans="2:5" x14ac:dyDescent="0.25">
      <c r="B6">
        <v>10973306</v>
      </c>
      <c r="C6" s="2" t="s">
        <v>14</v>
      </c>
      <c r="D6" s="2" t="s">
        <v>23</v>
      </c>
      <c r="E6" s="13">
        <v>2112759</v>
      </c>
    </row>
    <row r="7" spans="2:5" x14ac:dyDescent="0.25">
      <c r="B7">
        <v>10927261</v>
      </c>
      <c r="C7" s="2" t="s">
        <v>15</v>
      </c>
      <c r="D7" s="2" t="s">
        <v>24</v>
      </c>
      <c r="E7" s="13">
        <v>2210993</v>
      </c>
    </row>
    <row r="8" spans="2:5" x14ac:dyDescent="0.25">
      <c r="B8">
        <v>10986797</v>
      </c>
      <c r="C8" s="2" t="s">
        <v>16</v>
      </c>
      <c r="D8" s="2" t="s">
        <v>11</v>
      </c>
      <c r="E8" s="13">
        <v>601509</v>
      </c>
    </row>
    <row r="9" spans="2:5" x14ac:dyDescent="0.25">
      <c r="B9">
        <v>10963232</v>
      </c>
      <c r="C9" s="2" t="s">
        <v>13</v>
      </c>
      <c r="D9" s="2" t="s">
        <v>25</v>
      </c>
      <c r="E9" s="13">
        <v>2366984</v>
      </c>
    </row>
    <row r="10" spans="2:5" x14ac:dyDescent="0.25">
      <c r="B10">
        <v>10951775</v>
      </c>
      <c r="C10" s="2" t="s">
        <v>17</v>
      </c>
      <c r="D10" s="2" t="s">
        <v>26</v>
      </c>
      <c r="E10" s="13">
        <v>2783816</v>
      </c>
    </row>
    <row r="11" spans="2:5" x14ac:dyDescent="0.25">
      <c r="B11">
        <v>10950576</v>
      </c>
      <c r="C11" s="2" t="s">
        <v>18</v>
      </c>
      <c r="D11" s="2" t="s">
        <v>27</v>
      </c>
      <c r="E11" s="13">
        <v>2028374</v>
      </c>
    </row>
    <row r="12" spans="2:5" x14ac:dyDescent="0.25">
      <c r="B12">
        <v>10980436</v>
      </c>
      <c r="C12" s="2" t="s">
        <v>20</v>
      </c>
      <c r="D12" s="2" t="s">
        <v>28</v>
      </c>
      <c r="E12" s="13">
        <v>1966198</v>
      </c>
    </row>
    <row r="13" spans="2:5" x14ac:dyDescent="0.25">
      <c r="B13">
        <v>10985229</v>
      </c>
      <c r="C13" s="12" t="s">
        <v>13</v>
      </c>
      <c r="D13" s="12" t="s">
        <v>29</v>
      </c>
      <c r="E13" s="14">
        <v>539374</v>
      </c>
    </row>
  </sheetData>
  <pageMargins left="0.7" right="0.7" top="0.75" bottom="0.75" header="0.3" footer="0.3"/>
  <pageSetup orientation="portrait" r:id="rId1"/>
  <headerFooter>
    <oddHeader xml:space="preserve">&amp;L        &amp;G&amp;C&amp;"Cooper Black,Normal"&amp;22&amp;K002060LÁCTEOS LPG&amp;RCalle 22 # 33-25
Barrancabermeja, Santander </oddHeader>
  </headerFooter>
  <legacyDrawingHF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C83D2-5710-4092-AAD2-DF0BAC9C443C}">
  <sheetPr codeName="Hoja9"/>
  <dimension ref="A1:D2"/>
  <sheetViews>
    <sheetView workbookViewId="0">
      <selection sqref="A1:D1"/>
    </sheetView>
  </sheetViews>
  <sheetFormatPr baseColWidth="10" defaultRowHeight="15" x14ac:dyDescent="0.25"/>
  <sheetData>
    <row r="1" spans="1:4" x14ac:dyDescent="0.25">
      <c r="A1" s="17" t="s">
        <v>1005</v>
      </c>
      <c r="B1" s="17" t="s">
        <v>1006</v>
      </c>
      <c r="C1" s="17" t="s">
        <v>1007</v>
      </c>
      <c r="D1" s="17" t="s">
        <v>1008</v>
      </c>
    </row>
    <row r="2" spans="1:4" x14ac:dyDescent="0.25">
      <c r="A2" s="18">
        <v>-0.01</v>
      </c>
      <c r="B2" s="18">
        <v>-0.02</v>
      </c>
      <c r="C2" s="18">
        <v>-0.05</v>
      </c>
      <c r="D2" s="18">
        <v>-0.1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B497C-1745-4CB2-B449-AA4ED727BAAD}">
  <sheetPr codeName="Hoja10"/>
  <dimension ref="A1:B1"/>
  <sheetViews>
    <sheetView workbookViewId="0">
      <selection activeCell="D3" sqref="D3"/>
    </sheetView>
  </sheetViews>
  <sheetFormatPr baseColWidth="10" defaultRowHeight="15" x14ac:dyDescent="0.25"/>
  <sheetData>
    <row r="1" spans="1:2" x14ac:dyDescent="0.25">
      <c r="A1" t="s">
        <v>1000</v>
      </c>
      <c r="B1" s="16">
        <v>0.19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17</vt:i4>
      </vt:variant>
    </vt:vector>
  </HeadingPairs>
  <TitlesOfParts>
    <vt:vector size="26" baseType="lpstr">
      <vt:lpstr>Factura</vt:lpstr>
      <vt:lpstr>Tablas dinámicas</vt:lpstr>
      <vt:lpstr>Informe1</vt:lpstr>
      <vt:lpstr>Registro de ventas</vt:lpstr>
      <vt:lpstr>Clientes</vt:lpstr>
      <vt:lpstr>Producto</vt:lpstr>
      <vt:lpstr>Vendedores</vt:lpstr>
      <vt:lpstr>Descuento</vt:lpstr>
      <vt:lpstr>IVA</vt:lpstr>
      <vt:lpstr>Factura!Área_de_impresión</vt:lpstr>
      <vt:lpstr>Informe1!Área_de_impresión</vt:lpstr>
      <vt:lpstr>Cantidad</vt:lpstr>
      <vt:lpstr>CC.VendedorV</vt:lpstr>
      <vt:lpstr>CódigoV</vt:lpstr>
      <vt:lpstr>Descuento1</vt:lpstr>
      <vt:lpstr>Descuento2</vt:lpstr>
      <vt:lpstr>Descuento3</vt:lpstr>
      <vt:lpstr>Descuento4</vt:lpstr>
      <vt:lpstr>Descuentos</vt:lpstr>
      <vt:lpstr>IVA</vt:lpstr>
      <vt:lpstr>mes</vt:lpstr>
      <vt:lpstr>Nombre</vt:lpstr>
      <vt:lpstr>Nombre_Vendedor</vt:lpstr>
      <vt:lpstr>Informe1!Títulos_a_imprimir</vt:lpstr>
      <vt:lpstr>Total</vt:lpstr>
      <vt:lpstr>Valor_unitario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Alberto Suarez Badillo (Applus)</dc:creator>
  <cp:lastModifiedBy>Henry Alberto Suarez Badillo (Applus)</cp:lastModifiedBy>
  <cp:lastPrinted>2022-05-07T19:11:50Z</cp:lastPrinted>
  <dcterms:created xsi:type="dcterms:W3CDTF">2022-04-21T00:22:05Z</dcterms:created>
  <dcterms:modified xsi:type="dcterms:W3CDTF">2022-05-27T15:29:31Z</dcterms:modified>
</cp:coreProperties>
</file>